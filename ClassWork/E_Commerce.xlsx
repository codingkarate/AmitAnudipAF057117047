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\Desktop\ANUDIP\ClassWork\"/>
    </mc:Choice>
  </mc:AlternateContent>
  <xr:revisionPtr revIDLastSave="0" documentId="13_ncr:1_{19AFA820-6C78-4CF7-8BB5-DD3DBD5CAEAE}" xr6:coauthVersionLast="47" xr6:coauthVersionMax="47" xr10:uidLastSave="{00000000-0000-0000-0000-000000000000}"/>
  <bookViews>
    <workbookView xWindow="-110" yWindow="-110" windowWidth="19420" windowHeight="10300" xr2:uid="{2CE48592-67DA-4AFC-90C2-FAB71330BA3E}"/>
  </bookViews>
  <sheets>
    <sheet name="Sheet1" sheetId="1" r:id="rId1"/>
    <sheet name="Sheet2" sheetId="2" r:id="rId2"/>
  </sheets>
  <definedNames>
    <definedName name="_xlnm._FilterDatabase" localSheetId="0" hidden="1">Sheet1!$B$1:$B$501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0" i="1" l="1" a="1"/>
  <c r="W40" i="1" s="1"/>
  <c r="X37" i="1"/>
  <c r="V34" i="1"/>
  <c r="X25" i="1"/>
  <c r="X26" i="1"/>
  <c r="X27" i="1"/>
  <c r="X24" i="1"/>
  <c r="W18" i="1"/>
  <c r="W19" i="1"/>
  <c r="W20" i="1"/>
  <c r="W17" i="1"/>
  <c r="X14" i="1"/>
  <c r="X12" i="1"/>
  <c r="X13" i="1"/>
  <c r="X11" i="1"/>
  <c r="W7" i="1"/>
  <c r="W6" i="1"/>
  <c r="G2" i="2"/>
  <c r="G3" i="2"/>
  <c r="G4" i="2"/>
  <c r="G5" i="2"/>
  <c r="G6" i="2"/>
  <c r="F3" i="2"/>
  <c r="F4" i="2"/>
  <c r="F5" i="2"/>
  <c r="F6" i="2"/>
  <c r="F2" i="2"/>
  <c r="E3" i="2"/>
  <c r="E4" i="2"/>
  <c r="E5" i="2"/>
  <c r="E6" i="2"/>
  <c r="E2" i="2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2" i="1"/>
  <c r="S3" i="1" a="1"/>
  <c r="S3" i="1" s="1"/>
  <c r="S4" i="1" a="1"/>
  <c r="S4" i="1"/>
  <c r="S5" i="1" a="1"/>
  <c r="S5" i="1"/>
  <c r="S6" i="1" a="1"/>
  <c r="S6" i="1"/>
  <c r="S7" i="1" a="1"/>
  <c r="S7" i="1"/>
  <c r="S8" i="1" a="1"/>
  <c r="S8" i="1"/>
  <c r="S9" i="1" a="1"/>
  <c r="S9" i="1" s="1"/>
  <c r="S10" i="1" a="1"/>
  <c r="S10" i="1"/>
  <c r="S11" i="1" a="1"/>
  <c r="S11" i="1"/>
  <c r="S12" i="1" a="1"/>
  <c r="S12" i="1"/>
  <c r="S13" i="1" a="1"/>
  <c r="S13" i="1"/>
  <c r="S14" i="1" a="1"/>
  <c r="S14" i="1"/>
  <c r="S15" i="1" a="1"/>
  <c r="S15" i="1" s="1"/>
  <c r="S16" i="1" a="1"/>
  <c r="S16" i="1"/>
  <c r="S17" i="1" a="1"/>
  <c r="S17" i="1"/>
  <c r="S18" i="1" a="1"/>
  <c r="S18" i="1"/>
  <c r="S19" i="1" a="1"/>
  <c r="S19" i="1"/>
  <c r="S20" i="1" a="1"/>
  <c r="S20" i="1"/>
  <c r="S21" i="1" a="1"/>
  <c r="S21" i="1" s="1"/>
  <c r="S22" i="1" a="1"/>
  <c r="S22" i="1"/>
  <c r="S23" i="1" a="1"/>
  <c r="S23" i="1"/>
  <c r="S24" i="1" a="1"/>
  <c r="S24" i="1"/>
  <c r="S25" i="1" a="1"/>
  <c r="S25" i="1"/>
  <c r="S26" i="1" a="1"/>
  <c r="S26" i="1"/>
  <c r="S27" i="1" a="1"/>
  <c r="S27" i="1" s="1"/>
  <c r="S28" i="1" a="1"/>
  <c r="S28" i="1"/>
  <c r="S29" i="1" a="1"/>
  <c r="S29" i="1"/>
  <c r="S30" i="1" a="1"/>
  <c r="S30" i="1"/>
  <c r="S31" i="1" a="1"/>
  <c r="S31" i="1"/>
  <c r="S32" i="1" a="1"/>
  <c r="S32" i="1"/>
  <c r="S33" i="1" a="1"/>
  <c r="S33" i="1" s="1"/>
  <c r="S34" i="1" a="1"/>
  <c r="S34" i="1"/>
  <c r="S35" i="1" a="1"/>
  <c r="S35" i="1"/>
  <c r="S36" i="1" a="1"/>
  <c r="S36" i="1"/>
  <c r="S37" i="1" a="1"/>
  <c r="S37" i="1"/>
  <c r="S38" i="1" a="1"/>
  <c r="S38" i="1"/>
  <c r="S39" i="1" a="1"/>
  <c r="S39" i="1" s="1"/>
  <c r="S40" i="1" a="1"/>
  <c r="S40" i="1"/>
  <c r="S41" i="1" a="1"/>
  <c r="S41" i="1"/>
  <c r="S42" i="1" a="1"/>
  <c r="S42" i="1"/>
  <c r="S43" i="1" a="1"/>
  <c r="S43" i="1"/>
  <c r="S44" i="1" a="1"/>
  <c r="S44" i="1"/>
  <c r="S45" i="1" a="1"/>
  <c r="S45" i="1" s="1"/>
  <c r="S46" i="1" a="1"/>
  <c r="S46" i="1"/>
  <c r="S47" i="1" a="1"/>
  <c r="S47" i="1"/>
  <c r="S48" i="1" a="1"/>
  <c r="S48" i="1"/>
  <c r="S49" i="1" a="1"/>
  <c r="S49" i="1"/>
  <c r="S50" i="1" a="1"/>
  <c r="S50" i="1"/>
  <c r="S51" i="1" a="1"/>
  <c r="S51" i="1" s="1"/>
  <c r="S52" i="1" a="1"/>
  <c r="S52" i="1"/>
  <c r="S53" i="1" a="1"/>
  <c r="S53" i="1"/>
  <c r="S54" i="1" a="1"/>
  <c r="S54" i="1"/>
  <c r="S55" i="1" a="1"/>
  <c r="S55" i="1"/>
  <c r="S56" i="1" a="1"/>
  <c r="S56" i="1"/>
  <c r="S57" i="1" a="1"/>
  <c r="S57" i="1" s="1"/>
  <c r="S58" i="1" a="1"/>
  <c r="S58" i="1"/>
  <c r="S59" i="1" a="1"/>
  <c r="S59" i="1"/>
  <c r="S60" i="1" a="1"/>
  <c r="S60" i="1"/>
  <c r="S61" i="1" a="1"/>
  <c r="S61" i="1"/>
  <c r="S62" i="1" a="1"/>
  <c r="S62" i="1"/>
  <c r="S63" i="1" a="1"/>
  <c r="S63" i="1" s="1"/>
  <c r="S64" i="1" a="1"/>
  <c r="S64" i="1"/>
  <c r="S65" i="1" a="1"/>
  <c r="S65" i="1"/>
  <c r="S66" i="1" a="1"/>
  <c r="S66" i="1"/>
  <c r="S67" i="1" a="1"/>
  <c r="S67" i="1"/>
  <c r="S68" i="1" a="1"/>
  <c r="S68" i="1"/>
  <c r="S69" i="1" a="1"/>
  <c r="S69" i="1" s="1"/>
  <c r="S70" i="1" a="1"/>
  <c r="S70" i="1"/>
  <c r="S71" i="1" a="1"/>
  <c r="S71" i="1"/>
  <c r="S72" i="1" a="1"/>
  <c r="S72" i="1"/>
  <c r="S73" i="1" a="1"/>
  <c r="S73" i="1"/>
  <c r="S74" i="1" a="1"/>
  <c r="S74" i="1"/>
  <c r="S75" i="1" a="1"/>
  <c r="S75" i="1" s="1"/>
  <c r="S76" i="1" a="1"/>
  <c r="S76" i="1"/>
  <c r="S77" i="1" a="1"/>
  <c r="S77" i="1"/>
  <c r="S78" i="1" a="1"/>
  <c r="S78" i="1"/>
  <c r="S79" i="1" a="1"/>
  <c r="S79" i="1"/>
  <c r="S80" i="1" a="1"/>
  <c r="S80" i="1"/>
  <c r="S81" i="1" a="1"/>
  <c r="S81" i="1" s="1"/>
  <c r="S82" i="1" a="1"/>
  <c r="S82" i="1"/>
  <c r="S83" i="1" a="1"/>
  <c r="S83" i="1"/>
  <c r="S84" i="1" a="1"/>
  <c r="S84" i="1"/>
  <c r="S85" i="1" a="1"/>
  <c r="S85" i="1"/>
  <c r="S86" i="1" a="1"/>
  <c r="S86" i="1"/>
  <c r="S87" i="1" a="1"/>
  <c r="S87" i="1" s="1"/>
  <c r="S88" i="1" a="1"/>
  <c r="S88" i="1"/>
  <c r="S89" i="1" a="1"/>
  <c r="S89" i="1"/>
  <c r="S90" i="1" a="1"/>
  <c r="S90" i="1"/>
  <c r="S91" i="1" a="1"/>
  <c r="S91" i="1"/>
  <c r="S92" i="1" a="1"/>
  <c r="S92" i="1"/>
  <c r="S93" i="1" a="1"/>
  <c r="S93" i="1" s="1"/>
  <c r="S94" i="1" a="1"/>
  <c r="S94" i="1"/>
  <c r="S95" i="1" a="1"/>
  <c r="S95" i="1"/>
  <c r="S96" i="1" a="1"/>
  <c r="S96" i="1"/>
  <c r="S97" i="1" a="1"/>
  <c r="S97" i="1"/>
  <c r="S98" i="1" a="1"/>
  <c r="S98" i="1"/>
  <c r="S99" i="1" a="1"/>
  <c r="S99" i="1" s="1"/>
  <c r="S100" i="1" a="1"/>
  <c r="S100" i="1"/>
  <c r="S101" i="1" a="1"/>
  <c r="S101" i="1"/>
  <c r="S102" i="1" a="1"/>
  <c r="S102" i="1"/>
  <c r="S103" i="1" a="1"/>
  <c r="S103" i="1"/>
  <c r="S104" i="1" a="1"/>
  <c r="S104" i="1"/>
  <c r="S105" i="1" a="1"/>
  <c r="S105" i="1" s="1"/>
  <c r="S106" i="1" a="1"/>
  <c r="S106" i="1"/>
  <c r="S107" i="1" a="1"/>
  <c r="S107" i="1"/>
  <c r="S108" i="1" a="1"/>
  <c r="S108" i="1"/>
  <c r="S109" i="1" a="1"/>
  <c r="S109" i="1"/>
  <c r="S110" i="1" a="1"/>
  <c r="S110" i="1"/>
  <c r="S111" i="1" a="1"/>
  <c r="S111" i="1" s="1"/>
  <c r="S112" i="1" a="1"/>
  <c r="S112" i="1"/>
  <c r="S113" i="1" a="1"/>
  <c r="S113" i="1"/>
  <c r="S114" i="1" a="1"/>
  <c r="S114" i="1"/>
  <c r="S115" i="1" a="1"/>
  <c r="S115" i="1"/>
  <c r="S116" i="1" a="1"/>
  <c r="S116" i="1"/>
  <c r="S117" i="1" a="1"/>
  <c r="S117" i="1" s="1"/>
  <c r="S118" i="1" a="1"/>
  <c r="S118" i="1"/>
  <c r="S119" i="1" a="1"/>
  <c r="S119" i="1"/>
  <c r="S120" i="1" a="1"/>
  <c r="S120" i="1"/>
  <c r="S121" i="1" a="1"/>
  <c r="S121" i="1"/>
  <c r="S122" i="1" a="1"/>
  <c r="S122" i="1"/>
  <c r="S123" i="1" a="1"/>
  <c r="S123" i="1" s="1"/>
  <c r="S124" i="1" a="1"/>
  <c r="S124" i="1"/>
  <c r="S125" i="1" a="1"/>
  <c r="S125" i="1"/>
  <c r="S126" i="1" a="1"/>
  <c r="S126" i="1"/>
  <c r="S127" i="1" a="1"/>
  <c r="S127" i="1"/>
  <c r="S128" i="1" a="1"/>
  <c r="S128" i="1"/>
  <c r="S129" i="1" a="1"/>
  <c r="S129" i="1" s="1"/>
  <c r="S130" i="1" a="1"/>
  <c r="S130" i="1"/>
  <c r="S131" i="1" a="1"/>
  <c r="S131" i="1"/>
  <c r="S132" i="1" a="1"/>
  <c r="S132" i="1"/>
  <c r="S133" i="1" a="1"/>
  <c r="S133" i="1"/>
  <c r="S134" i="1" a="1"/>
  <c r="S134" i="1"/>
  <c r="S135" i="1" a="1"/>
  <c r="S135" i="1" s="1"/>
  <c r="S136" i="1" a="1"/>
  <c r="S136" i="1"/>
  <c r="S137" i="1" a="1"/>
  <c r="S137" i="1"/>
  <c r="S138" i="1" a="1"/>
  <c r="S138" i="1"/>
  <c r="S139" i="1" a="1"/>
  <c r="S139" i="1"/>
  <c r="S140" i="1" a="1"/>
  <c r="S140" i="1"/>
  <c r="S141" i="1" a="1"/>
  <c r="S141" i="1" s="1"/>
  <c r="S142" i="1" a="1"/>
  <c r="S142" i="1"/>
  <c r="S143" i="1" a="1"/>
  <c r="S143" i="1"/>
  <c r="S144" i="1" a="1"/>
  <c r="S144" i="1"/>
  <c r="S145" i="1" a="1"/>
  <c r="S145" i="1"/>
  <c r="S146" i="1" a="1"/>
  <c r="S146" i="1"/>
  <c r="S147" i="1" a="1"/>
  <c r="S147" i="1" s="1"/>
  <c r="S148" i="1" a="1"/>
  <c r="S148" i="1"/>
  <c r="S149" i="1" a="1"/>
  <c r="S149" i="1"/>
  <c r="S150" i="1" a="1"/>
  <c r="S150" i="1"/>
  <c r="S151" i="1" a="1"/>
  <c r="S151" i="1"/>
  <c r="S152" i="1" a="1"/>
  <c r="S152" i="1"/>
  <c r="S153" i="1" a="1"/>
  <c r="S153" i="1" s="1"/>
  <c r="S154" i="1" a="1"/>
  <c r="S154" i="1"/>
  <c r="S155" i="1" a="1"/>
  <c r="S155" i="1"/>
  <c r="S156" i="1" a="1"/>
  <c r="S156" i="1"/>
  <c r="S157" i="1" a="1"/>
  <c r="S157" i="1"/>
  <c r="S158" i="1" a="1"/>
  <c r="S158" i="1"/>
  <c r="S159" i="1" a="1"/>
  <c r="S159" i="1" s="1"/>
  <c r="S160" i="1" a="1"/>
  <c r="S160" i="1"/>
  <c r="S161" i="1" a="1"/>
  <c r="S161" i="1"/>
  <c r="S162" i="1" a="1"/>
  <c r="S162" i="1"/>
  <c r="S163" i="1" a="1"/>
  <c r="S163" i="1"/>
  <c r="S164" i="1" a="1"/>
  <c r="S164" i="1"/>
  <c r="S165" i="1" a="1"/>
  <c r="S165" i="1" s="1"/>
  <c r="S166" i="1" a="1"/>
  <c r="S166" i="1"/>
  <c r="S167" i="1" a="1"/>
  <c r="S167" i="1"/>
  <c r="S168" i="1" a="1"/>
  <c r="S168" i="1"/>
  <c r="S169" i="1" a="1"/>
  <c r="S169" i="1"/>
  <c r="S170" i="1" a="1"/>
  <c r="S170" i="1"/>
  <c r="S171" i="1" a="1"/>
  <c r="S171" i="1" s="1"/>
  <c r="S172" i="1" a="1"/>
  <c r="S172" i="1"/>
  <c r="S173" i="1" a="1"/>
  <c r="S173" i="1"/>
  <c r="S174" i="1" a="1"/>
  <c r="S174" i="1"/>
  <c r="S175" i="1" a="1"/>
  <c r="S175" i="1"/>
  <c r="S176" i="1" a="1"/>
  <c r="S176" i="1"/>
  <c r="S177" i="1" a="1"/>
  <c r="S177" i="1" s="1"/>
  <c r="S178" i="1" a="1"/>
  <c r="S178" i="1"/>
  <c r="S179" i="1" a="1"/>
  <c r="S179" i="1"/>
  <c r="S180" i="1" a="1"/>
  <c r="S180" i="1"/>
  <c r="S181" i="1" a="1"/>
  <c r="S181" i="1"/>
  <c r="S182" i="1" a="1"/>
  <c r="S182" i="1"/>
  <c r="S183" i="1" a="1"/>
  <c r="S183" i="1" s="1"/>
  <c r="S184" i="1" a="1"/>
  <c r="S184" i="1"/>
  <c r="S185" i="1" a="1"/>
  <c r="S185" i="1"/>
  <c r="S186" i="1" a="1"/>
  <c r="S186" i="1"/>
  <c r="S187" i="1" a="1"/>
  <c r="S187" i="1"/>
  <c r="S188" i="1" a="1"/>
  <c r="S188" i="1"/>
  <c r="S189" i="1" a="1"/>
  <c r="S189" i="1" s="1"/>
  <c r="S190" i="1" a="1"/>
  <c r="S190" i="1"/>
  <c r="S191" i="1" a="1"/>
  <c r="S191" i="1"/>
  <c r="S192" i="1" a="1"/>
  <c r="S192" i="1"/>
  <c r="S193" i="1" a="1"/>
  <c r="S193" i="1"/>
  <c r="S194" i="1" a="1"/>
  <c r="S194" i="1"/>
  <c r="S195" i="1" a="1"/>
  <c r="S195" i="1" s="1"/>
  <c r="S196" i="1" a="1"/>
  <c r="S196" i="1"/>
  <c r="S197" i="1" a="1"/>
  <c r="S197" i="1"/>
  <c r="S198" i="1" a="1"/>
  <c r="S198" i="1"/>
  <c r="S199" i="1" a="1"/>
  <c r="S199" i="1"/>
  <c r="S200" i="1" a="1"/>
  <c r="S200" i="1"/>
  <c r="S201" i="1" a="1"/>
  <c r="S201" i="1" s="1"/>
  <c r="S202" i="1" a="1"/>
  <c r="S202" i="1"/>
  <c r="S203" i="1" a="1"/>
  <c r="S203" i="1"/>
  <c r="S204" i="1" a="1"/>
  <c r="S204" i="1"/>
  <c r="S205" i="1" a="1"/>
  <c r="S205" i="1"/>
  <c r="S206" i="1" a="1"/>
  <c r="S206" i="1"/>
  <c r="S207" i="1" a="1"/>
  <c r="S207" i="1" s="1"/>
  <c r="S208" i="1" a="1"/>
  <c r="S208" i="1"/>
  <c r="S209" i="1" a="1"/>
  <c r="S209" i="1"/>
  <c r="S210" i="1" a="1"/>
  <c r="S210" i="1"/>
  <c r="S211" i="1" a="1"/>
  <c r="S211" i="1"/>
  <c r="S212" i="1" a="1"/>
  <c r="S212" i="1"/>
  <c r="S213" i="1" a="1"/>
  <c r="S213" i="1" s="1"/>
  <c r="S214" i="1" a="1"/>
  <c r="S214" i="1"/>
  <c r="S215" i="1" a="1"/>
  <c r="S215" i="1"/>
  <c r="S216" i="1" a="1"/>
  <c r="S216" i="1"/>
  <c r="S217" i="1" a="1"/>
  <c r="S217" i="1"/>
  <c r="S218" i="1" a="1"/>
  <c r="S218" i="1"/>
  <c r="S219" i="1" a="1"/>
  <c r="S219" i="1" s="1"/>
  <c r="S220" i="1" a="1"/>
  <c r="S220" i="1"/>
  <c r="S221" i="1" a="1"/>
  <c r="S221" i="1"/>
  <c r="S222" i="1" a="1"/>
  <c r="S222" i="1"/>
  <c r="S223" i="1" a="1"/>
  <c r="S223" i="1"/>
  <c r="S224" i="1" a="1"/>
  <c r="S224" i="1"/>
  <c r="S225" i="1" a="1"/>
  <c r="S225" i="1" s="1"/>
  <c r="S226" i="1" a="1"/>
  <c r="S226" i="1"/>
  <c r="S227" i="1" a="1"/>
  <c r="S227" i="1"/>
  <c r="S228" i="1" a="1"/>
  <c r="S228" i="1"/>
  <c r="S229" i="1" a="1"/>
  <c r="S229" i="1"/>
  <c r="S230" i="1" a="1"/>
  <c r="S230" i="1"/>
  <c r="S231" i="1" a="1"/>
  <c r="S231" i="1" s="1"/>
  <c r="S232" i="1" a="1"/>
  <c r="S232" i="1"/>
  <c r="S233" i="1" a="1"/>
  <c r="S233" i="1"/>
  <c r="S234" i="1" a="1"/>
  <c r="S234" i="1"/>
  <c r="S235" i="1" a="1"/>
  <c r="S235" i="1"/>
  <c r="S236" i="1" a="1"/>
  <c r="S236" i="1"/>
  <c r="S237" i="1" a="1"/>
  <c r="S237" i="1" s="1"/>
  <c r="S238" i="1" a="1"/>
  <c r="S238" i="1"/>
  <c r="S239" i="1" a="1"/>
  <c r="S239" i="1"/>
  <c r="S240" i="1" a="1"/>
  <c r="S240" i="1"/>
  <c r="S241" i="1" a="1"/>
  <c r="S241" i="1"/>
  <c r="S242" i="1" a="1"/>
  <c r="S242" i="1"/>
  <c r="S243" i="1" a="1"/>
  <c r="S243" i="1" s="1"/>
  <c r="S244" i="1" a="1"/>
  <c r="S244" i="1"/>
  <c r="S245" i="1" a="1"/>
  <c r="S245" i="1"/>
  <c r="S246" i="1" a="1"/>
  <c r="S246" i="1"/>
  <c r="S247" i="1" a="1"/>
  <c r="S247" i="1"/>
  <c r="S248" i="1" a="1"/>
  <c r="S248" i="1"/>
  <c r="S249" i="1" a="1"/>
  <c r="S249" i="1" s="1"/>
  <c r="S250" i="1" a="1"/>
  <c r="S250" i="1"/>
  <c r="S251" i="1" a="1"/>
  <c r="S251" i="1"/>
  <c r="S252" i="1" a="1"/>
  <c r="S252" i="1"/>
  <c r="S253" i="1" a="1"/>
  <c r="S253" i="1"/>
  <c r="S254" i="1" a="1"/>
  <c r="S254" i="1"/>
  <c r="S255" i="1" a="1"/>
  <c r="S255" i="1" s="1"/>
  <c r="S256" i="1" a="1"/>
  <c r="S256" i="1"/>
  <c r="S257" i="1" a="1"/>
  <c r="S257" i="1"/>
  <c r="S258" i="1" a="1"/>
  <c r="S258" i="1"/>
  <c r="S259" i="1" a="1"/>
  <c r="S259" i="1"/>
  <c r="S260" i="1" a="1"/>
  <c r="S260" i="1"/>
  <c r="S261" i="1" a="1"/>
  <c r="S261" i="1" s="1"/>
  <c r="S262" i="1" a="1"/>
  <c r="S262" i="1"/>
  <c r="S263" i="1" a="1"/>
  <c r="S263" i="1"/>
  <c r="S264" i="1" a="1"/>
  <c r="S264" i="1"/>
  <c r="S265" i="1" a="1"/>
  <c r="S265" i="1"/>
  <c r="S266" i="1" a="1"/>
  <c r="S266" i="1"/>
  <c r="S267" i="1" a="1"/>
  <c r="S267" i="1" s="1"/>
  <c r="S268" i="1" a="1"/>
  <c r="S268" i="1"/>
  <c r="S269" i="1" a="1"/>
  <c r="S269" i="1"/>
  <c r="S270" i="1" a="1"/>
  <c r="S270" i="1"/>
  <c r="S271" i="1" a="1"/>
  <c r="S271" i="1"/>
  <c r="S272" i="1" a="1"/>
  <c r="S272" i="1"/>
  <c r="S273" i="1" a="1"/>
  <c r="S273" i="1" s="1"/>
  <c r="S274" i="1" a="1"/>
  <c r="S274" i="1"/>
  <c r="S275" i="1" a="1"/>
  <c r="S275" i="1"/>
  <c r="S276" i="1" a="1"/>
  <c r="S276" i="1"/>
  <c r="S277" i="1" a="1"/>
  <c r="S277" i="1"/>
  <c r="S278" i="1" a="1"/>
  <c r="S278" i="1"/>
  <c r="S279" i="1" a="1"/>
  <c r="S279" i="1" s="1"/>
  <c r="S280" i="1" a="1"/>
  <c r="S280" i="1"/>
  <c r="S281" i="1" a="1"/>
  <c r="S281" i="1"/>
  <c r="S282" i="1" a="1"/>
  <c r="S282" i="1"/>
  <c r="S283" i="1" a="1"/>
  <c r="S283" i="1"/>
  <c r="S284" i="1" a="1"/>
  <c r="S284" i="1"/>
  <c r="S285" i="1" a="1"/>
  <c r="S285" i="1" s="1"/>
  <c r="S286" i="1" a="1"/>
  <c r="S286" i="1"/>
  <c r="S287" i="1" a="1"/>
  <c r="S287" i="1"/>
  <c r="S288" i="1" a="1"/>
  <c r="S288" i="1"/>
  <c r="S289" i="1" a="1"/>
  <c r="S289" i="1"/>
  <c r="S290" i="1" a="1"/>
  <c r="S290" i="1"/>
  <c r="S291" i="1" a="1"/>
  <c r="S291" i="1" s="1"/>
  <c r="S292" i="1" a="1"/>
  <c r="S292" i="1"/>
  <c r="S293" i="1" a="1"/>
  <c r="S293" i="1"/>
  <c r="S294" i="1" a="1"/>
  <c r="S294" i="1"/>
  <c r="S295" i="1" a="1"/>
  <c r="S295" i="1"/>
  <c r="S296" i="1" a="1"/>
  <c r="S296" i="1"/>
  <c r="S297" i="1" a="1"/>
  <c r="S297" i="1" s="1"/>
  <c r="S298" i="1" a="1"/>
  <c r="S298" i="1"/>
  <c r="S299" i="1" a="1"/>
  <c r="S299" i="1"/>
  <c r="S300" i="1" a="1"/>
  <c r="S300" i="1"/>
  <c r="S301" i="1" a="1"/>
  <c r="S301" i="1"/>
  <c r="S302" i="1" a="1"/>
  <c r="S302" i="1"/>
  <c r="S303" i="1" a="1"/>
  <c r="S303" i="1" s="1"/>
  <c r="S304" i="1" a="1"/>
  <c r="S304" i="1"/>
  <c r="S305" i="1" a="1"/>
  <c r="S305" i="1"/>
  <c r="S306" i="1" a="1"/>
  <c r="S306" i="1"/>
  <c r="S307" i="1" a="1"/>
  <c r="S307" i="1"/>
  <c r="S308" i="1" a="1"/>
  <c r="S308" i="1"/>
  <c r="S309" i="1" a="1"/>
  <c r="S309" i="1" s="1"/>
  <c r="S310" i="1" a="1"/>
  <c r="S310" i="1"/>
  <c r="S311" i="1" a="1"/>
  <c r="S311" i="1"/>
  <c r="S312" i="1" a="1"/>
  <c r="S312" i="1"/>
  <c r="S313" i="1" a="1"/>
  <c r="S313" i="1"/>
  <c r="S314" i="1" a="1"/>
  <c r="S314" i="1"/>
  <c r="S315" i="1" a="1"/>
  <c r="S315" i="1" s="1"/>
  <c r="S316" i="1" a="1"/>
  <c r="S316" i="1"/>
  <c r="S317" i="1" a="1"/>
  <c r="S317" i="1"/>
  <c r="S318" i="1" a="1"/>
  <c r="S318" i="1"/>
  <c r="S319" i="1" a="1"/>
  <c r="S319" i="1"/>
  <c r="S320" i="1" a="1"/>
  <c r="S320" i="1"/>
  <c r="S321" i="1" a="1"/>
  <c r="S321" i="1" s="1"/>
  <c r="S322" i="1" a="1"/>
  <c r="S322" i="1"/>
  <c r="S323" i="1" a="1"/>
  <c r="S323" i="1"/>
  <c r="S324" i="1" a="1"/>
  <c r="S324" i="1"/>
  <c r="S325" i="1" a="1"/>
  <c r="S325" i="1"/>
  <c r="S326" i="1" a="1"/>
  <c r="S326" i="1"/>
  <c r="S327" i="1" a="1"/>
  <c r="S327" i="1" s="1"/>
  <c r="S328" i="1" a="1"/>
  <c r="S328" i="1"/>
  <c r="S329" i="1" a="1"/>
  <c r="S329" i="1"/>
  <c r="S330" i="1" a="1"/>
  <c r="S330" i="1"/>
  <c r="S331" i="1" a="1"/>
  <c r="S331" i="1"/>
  <c r="S332" i="1" a="1"/>
  <c r="S332" i="1"/>
  <c r="S333" i="1" a="1"/>
  <c r="S333" i="1" s="1"/>
  <c r="S334" i="1" a="1"/>
  <c r="S334" i="1"/>
  <c r="S335" i="1" a="1"/>
  <c r="S335" i="1"/>
  <c r="S336" i="1" a="1"/>
  <c r="S336" i="1"/>
  <c r="S337" i="1" a="1"/>
  <c r="S337" i="1"/>
  <c r="S338" i="1" a="1"/>
  <c r="S338" i="1"/>
  <c r="S339" i="1" a="1"/>
  <c r="S339" i="1" s="1"/>
  <c r="S340" i="1" a="1"/>
  <c r="S340" i="1"/>
  <c r="S341" i="1" a="1"/>
  <c r="S341" i="1"/>
  <c r="S342" i="1" a="1"/>
  <c r="S342" i="1"/>
  <c r="S343" i="1" a="1"/>
  <c r="S343" i="1"/>
  <c r="S344" i="1" a="1"/>
  <c r="S344" i="1"/>
  <c r="S345" i="1" a="1"/>
  <c r="S345" i="1" s="1"/>
  <c r="S346" i="1" a="1"/>
  <c r="S346" i="1"/>
  <c r="S347" i="1" a="1"/>
  <c r="S347" i="1"/>
  <c r="S348" i="1" a="1"/>
  <c r="S348" i="1"/>
  <c r="S349" i="1" a="1"/>
  <c r="S349" i="1"/>
  <c r="S350" i="1" a="1"/>
  <c r="S350" i="1"/>
  <c r="S351" i="1" a="1"/>
  <c r="S351" i="1" s="1"/>
  <c r="S352" i="1" a="1"/>
  <c r="S352" i="1"/>
  <c r="S353" i="1" a="1"/>
  <c r="S353" i="1"/>
  <c r="S354" i="1" a="1"/>
  <c r="S354" i="1"/>
  <c r="S355" i="1" a="1"/>
  <c r="S355" i="1"/>
  <c r="S356" i="1" a="1"/>
  <c r="S356" i="1"/>
  <c r="S357" i="1" a="1"/>
  <c r="S357" i="1" s="1"/>
  <c r="S358" i="1" a="1"/>
  <c r="S358" i="1"/>
  <c r="S359" i="1" a="1"/>
  <c r="S359" i="1"/>
  <c r="S360" i="1" a="1"/>
  <c r="S360" i="1"/>
  <c r="S361" i="1" a="1"/>
  <c r="S361" i="1"/>
  <c r="S362" i="1" a="1"/>
  <c r="S362" i="1"/>
  <c r="S363" i="1" a="1"/>
  <c r="S363" i="1" s="1"/>
  <c r="S364" i="1" a="1"/>
  <c r="S364" i="1"/>
  <c r="S365" i="1" a="1"/>
  <c r="S365" i="1"/>
  <c r="S366" i="1" a="1"/>
  <c r="S366" i="1"/>
  <c r="S367" i="1" a="1"/>
  <c r="S367" i="1"/>
  <c r="S368" i="1" a="1"/>
  <c r="S368" i="1"/>
  <c r="S369" i="1" a="1"/>
  <c r="S369" i="1" s="1"/>
  <c r="S370" i="1" a="1"/>
  <c r="S370" i="1"/>
  <c r="S371" i="1" a="1"/>
  <c r="S371" i="1"/>
  <c r="S372" i="1" a="1"/>
  <c r="S372" i="1"/>
  <c r="S373" i="1" a="1"/>
  <c r="S373" i="1"/>
  <c r="S2" i="1" a="1"/>
  <c r="S2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<sst xmlns="http://schemas.openxmlformats.org/spreadsheetml/2006/main" count="2671" uniqueCount="93">
  <si>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</si>
  <si>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</si>
  <si>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</si>
  <si>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</si>
  <si>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</si>
  <si>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</si>
  <si>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</si>
  <si>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</si>
  <si>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</si>
  <si>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</si>
  <si>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</si>
  <si>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</si>
  <si>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</si>
  <si>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</si>
  <si>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</si>
  <si>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</si>
  <si>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</si>
  <si>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</si>
  <si>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</si>
  <si>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</si>
  <si>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</si>
  <si>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</si>
  <si>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</si>
  <si>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</si>
  <si>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</si>
  <si>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</si>
  <si>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</si>
  <si>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</si>
  <si>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</si>
  <si>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</si>
  <si>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</si>
  <si>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</si>
  <si>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</si>
  <si>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</si>
  <si>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</si>
  <si>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</si>
  <si>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</si>
  <si>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</si>
  <si>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</si>
  <si>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</si>
  <si>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</si>
  <si>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</si>
  <si>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</si>
  <si>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</si>
  <si>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</si>
  <si>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</si>
  <si>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</si>
  <si>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</si>
  <si>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</si>
  <si>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</si>
  <si>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</si>
  <si>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</si>
  <si>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</si>
  <si>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</si>
  <si>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</si>
  <si>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</si>
  <si>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</si>
  <si>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</si>
  <si>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</si>
  <si>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</si>
  <si>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</si>
  <si>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</si>
  <si>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</si>
  <si>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</si>
  <si>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</si>
  <si>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</si>
  <si>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</si>
  <si>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</si>
  <si>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</si>
  <si>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Price</t>
  </si>
  <si>
    <t>Discount Amt</t>
  </si>
  <si>
    <t>Price After Discount</t>
  </si>
  <si>
    <t>Price Category</t>
  </si>
  <si>
    <t>Unit Category</t>
  </si>
  <si>
    <t>Disct Categeory</t>
  </si>
  <si>
    <t>NAME</t>
  </si>
  <si>
    <t>SUB1</t>
  </si>
  <si>
    <t>SUB2</t>
  </si>
  <si>
    <t>SUB3</t>
  </si>
  <si>
    <t>TOTAL</t>
  </si>
  <si>
    <t>AVERAGE</t>
  </si>
  <si>
    <t>GRADE</t>
  </si>
  <si>
    <t>RAJU</t>
  </si>
  <si>
    <t>RAM</t>
  </si>
  <si>
    <t>SAM</t>
  </si>
  <si>
    <t>SITA</t>
  </si>
  <si>
    <t>JITU</t>
  </si>
  <si>
    <t>Avgif</t>
  </si>
  <si>
    <t>Avgifs</t>
  </si>
  <si>
    <t>Amit</t>
  </si>
  <si>
    <t>Total Selling Amt</t>
  </si>
  <si>
    <t>TOTAL SELL AMT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</si>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</sst>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D61F-E79A-4686-B365-3C68CD980ACE}">
  <dimension ref="A1:X373"/>
  <sheetViews>
    <sheetView tabSelected="1" topLeftCell="N37" zoomScaleNormal="100" workbookViewId="0">
      <selection activeCell="W41" sqref="W41"/>
    </sheetView>
  </sheetViews>
  <sheetFormatPr defaultRowHeight="14.5" x14ac:dyDescent="0.35"/>
  <cols>
    <col min="1" max="1" width="7.90625" bestFit="1" customWidth="1"/>
    <col min="2" max="2" width="11.08984375" bestFit="1" customWidth="1"/>
    <col min="3" max="4" width="10.36328125" bestFit="1" customWidth="1"/>
    <col min="5" max="5" width="9.81640625" bestFit="1" customWidth="1"/>
    <col min="6" max="6" width="11.453125" bestFit="1" customWidth="1"/>
    <col min="7" max="7" width="12.08984375" bestFit="1" customWidth="1"/>
    <col min="8" max="8" width="15.08984375" bestFit="1" customWidth="1"/>
    <col min="9" max="9" width="15.1796875" bestFit="1" customWidth="1"/>
    <col min="10" max="10" width="12.6328125" bestFit="1" customWidth="1"/>
    <col min="11" max="11" width="7" bestFit="1" customWidth="1"/>
    <col min="12" max="12" width="9.08984375" bestFit="1" customWidth="1"/>
    <col min="14" max="14" width="10" bestFit="1" customWidth="1"/>
    <col min="15" max="15" width="10.54296875" customWidth="1"/>
    <col min="16" max="16" width="14.6328125" customWidth="1"/>
    <col min="17" max="17" width="18.6328125" customWidth="1"/>
    <col min="18" max="18" width="13.81640625" customWidth="1"/>
    <col min="19" max="19" width="17.08984375" customWidth="1"/>
    <col min="20" max="20" width="17.1796875" customWidth="1"/>
    <col min="21" max="21" width="12.6328125" customWidth="1"/>
    <col min="23" max="23" width="16.36328125" customWidth="1"/>
    <col min="24" max="24" width="9.9062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69</v>
      </c>
      <c r="P1" s="3" t="s">
        <v>70</v>
      </c>
      <c r="Q1" s="1" t="s">
        <v>71</v>
      </c>
      <c r="R1" s="3" t="s">
        <v>72</v>
      </c>
      <c r="S1" s="3" t="s">
        <v>73</v>
      </c>
      <c r="T1" s="1" t="s">
        <v>74</v>
      </c>
    </row>
    <row r="2" spans="1:24" x14ac:dyDescent="0.35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  <c r="O2" s="1">
        <f>L2*M2</f>
        <v>19907.09</v>
      </c>
      <c r="P2" s="1">
        <f>O2*N2/100</f>
        <v>0</v>
      </c>
      <c r="Q2" s="1">
        <f>O2-P2</f>
        <v>19907.09</v>
      </c>
      <c r="R2" s="1" t="str">
        <f>IF(Q2&gt;=10000, "HIGH", "LOW")</f>
        <v>HIGH</v>
      </c>
      <c r="S2" s="1" t="str" cm="1">
        <f t="array" ref="S2">_xlfn.IFS(L2&gt;=8,"HIGH",L2&gt;=5,"MEDIUM",L2&lt;5,"LOW")</f>
        <v>MEDIUM</v>
      </c>
      <c r="T2" s="1" t="str">
        <f>IF(P2&gt;=3000,"High",IF(P2&gt;=1500,"Medium","Low"))</f>
        <v>Low</v>
      </c>
    </row>
    <row r="3" spans="1:24" x14ac:dyDescent="0.35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  <c r="O3" s="1">
        <f t="shared" ref="O3:O66" si="0">L3*M3</f>
        <v>22727.07</v>
      </c>
      <c r="P3" s="1">
        <f t="shared" ref="P3:P66" si="1">O3*N3/100</f>
        <v>1136.3535000000002</v>
      </c>
      <c r="Q3" s="1">
        <f t="shared" ref="Q3:Q66" si="2">O3-P3</f>
        <v>21590.716499999999</v>
      </c>
      <c r="R3" s="1" t="str">
        <f t="shared" ref="R3:R66" si="3">IF(Q3&gt;=10000, "HIGH", "LOW")</f>
        <v>HIGH</v>
      </c>
      <c r="S3" s="1" t="str" cm="1">
        <f t="array" ref="S3">_xlfn.IFS(L3&gt;=8,"HIGH",L3&gt;=5,"MEDIUM",L3&lt;5,"LOW")</f>
        <v>HIGH</v>
      </c>
      <c r="T3" s="1" t="str">
        <f t="shared" ref="T3:T66" si="4">IF(P3&gt;=3000,"High",IF(P3&gt;=1500,"Medium","Low"))</f>
        <v>Low</v>
      </c>
    </row>
    <row r="4" spans="1:24" x14ac:dyDescent="0.35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  <c r="O4" s="1">
        <f t="shared" si="0"/>
        <v>20846.04</v>
      </c>
      <c r="P4" s="1">
        <f t="shared" si="1"/>
        <v>3126.9060000000004</v>
      </c>
      <c r="Q4" s="1">
        <f t="shared" si="2"/>
        <v>17719.134000000002</v>
      </c>
      <c r="R4" s="1" t="str">
        <f t="shared" si="3"/>
        <v>HIGH</v>
      </c>
      <c r="S4" s="1" t="str" cm="1">
        <f t="array" ref="S4">_xlfn.IFS(L4&gt;=8,"HIGH",L4&gt;=5,"MEDIUM",L4&lt;5,"LOW")</f>
        <v>MEDIUM</v>
      </c>
      <c r="T4" s="1" t="str">
        <f t="shared" si="4"/>
        <v>High</v>
      </c>
    </row>
    <row r="5" spans="1:24" x14ac:dyDescent="0.35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O5" s="1">
        <f t="shared" si="0"/>
        <v>1008.79</v>
      </c>
      <c r="P5" s="1">
        <f t="shared" si="1"/>
        <v>151.31849999999997</v>
      </c>
      <c r="Q5" s="1">
        <f t="shared" si="2"/>
        <v>857.47149999999999</v>
      </c>
      <c r="R5" s="1" t="str">
        <f t="shared" si="3"/>
        <v>LOW</v>
      </c>
      <c r="S5" s="1" t="str" cm="1">
        <f t="array" ref="S5">_xlfn.IFS(L5&gt;=8,"HIGH",L5&gt;=5,"MEDIUM",L5&lt;5,"LOW")</f>
        <v>LOW</v>
      </c>
      <c r="T5" s="1" t="str">
        <f t="shared" si="4"/>
        <v>Low</v>
      </c>
    </row>
    <row r="6" spans="1:24" x14ac:dyDescent="0.35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  <c r="O6" s="1">
        <f t="shared" si="0"/>
        <v>24580.289999999997</v>
      </c>
      <c r="P6" s="1">
        <f t="shared" si="1"/>
        <v>4916.0579999999991</v>
      </c>
      <c r="Q6" s="1">
        <f t="shared" si="2"/>
        <v>19664.231999999996</v>
      </c>
      <c r="R6" s="1" t="str">
        <f t="shared" si="3"/>
        <v>HIGH</v>
      </c>
      <c r="S6" s="1" t="str" cm="1">
        <f t="array" ref="S6">_xlfn.IFS(L6&gt;=8,"HIGH",L6&gt;=5,"MEDIUM",L6&lt;5,"LOW")</f>
        <v>MEDIUM</v>
      </c>
      <c r="T6" s="1" t="str">
        <f t="shared" si="4"/>
        <v>High</v>
      </c>
      <c r="V6" t="s">
        <v>20</v>
      </c>
      <c r="W6">
        <f>SUMIF(K2:K373,V6,L2:L373)</f>
        <v>369</v>
      </c>
    </row>
    <row r="7" spans="1:24" x14ac:dyDescent="0.35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O7" s="1">
        <f t="shared" si="0"/>
        <v>9568.6500000000015</v>
      </c>
      <c r="P7" s="1">
        <f t="shared" si="1"/>
        <v>956.86500000000012</v>
      </c>
      <c r="Q7" s="1">
        <f t="shared" si="2"/>
        <v>8611.7850000000017</v>
      </c>
      <c r="R7" s="1" t="str">
        <f t="shared" si="3"/>
        <v>LOW</v>
      </c>
      <c r="S7" s="1" t="str" cm="1">
        <f t="array" ref="S7">_xlfn.IFS(L7&gt;=8,"HIGH",L7&gt;=5,"MEDIUM",L7&lt;5,"LOW")</f>
        <v>LOW</v>
      </c>
      <c r="T7" s="1" t="str">
        <f t="shared" si="4"/>
        <v>Low</v>
      </c>
      <c r="V7" t="s">
        <v>46</v>
      </c>
      <c r="W7">
        <f>SUMIF(K3:K374,V7,L3:L374)</f>
        <v>354</v>
      </c>
    </row>
    <row r="8" spans="1:24" x14ac:dyDescent="0.35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O8" s="1">
        <f t="shared" si="0"/>
        <v>15152.1</v>
      </c>
      <c r="P8" s="1">
        <f t="shared" si="1"/>
        <v>1515.21</v>
      </c>
      <c r="Q8" s="1">
        <f t="shared" si="2"/>
        <v>13636.89</v>
      </c>
      <c r="R8" s="1" t="str">
        <f t="shared" si="3"/>
        <v>HIGH</v>
      </c>
      <c r="S8" s="1" t="str" cm="1">
        <f t="array" ref="S8">_xlfn.IFS(L8&gt;=8,"HIGH",L8&gt;=5,"MEDIUM",L8&lt;5,"LOW")</f>
        <v>MEDIUM</v>
      </c>
      <c r="T8" s="1" t="str">
        <f t="shared" si="4"/>
        <v>Medium</v>
      </c>
    </row>
    <row r="9" spans="1:24" x14ac:dyDescent="0.35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O9" s="1">
        <f t="shared" si="0"/>
        <v>9243.32</v>
      </c>
      <c r="P9" s="1">
        <f t="shared" si="1"/>
        <v>924.33199999999999</v>
      </c>
      <c r="Q9" s="1">
        <f t="shared" si="2"/>
        <v>8318.9879999999994</v>
      </c>
      <c r="R9" s="1" t="str">
        <f t="shared" si="3"/>
        <v>LOW</v>
      </c>
      <c r="S9" s="1" t="str" cm="1">
        <f t="array" ref="S9">_xlfn.IFS(L9&gt;=8,"HIGH",L9&gt;=5,"MEDIUM",L9&lt;5,"LOW")</f>
        <v>LOW</v>
      </c>
      <c r="T9" s="1" t="str">
        <f t="shared" si="4"/>
        <v>Low</v>
      </c>
    </row>
    <row r="10" spans="1:24" x14ac:dyDescent="0.35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  <c r="O10" s="1">
        <f t="shared" si="0"/>
        <v>5490.2</v>
      </c>
      <c r="P10" s="1">
        <f t="shared" si="1"/>
        <v>823.53</v>
      </c>
      <c r="Q10" s="1">
        <f t="shared" si="2"/>
        <v>4666.67</v>
      </c>
      <c r="R10" s="1" t="str">
        <f t="shared" si="3"/>
        <v>LOW</v>
      </c>
      <c r="S10" s="1" t="str" cm="1">
        <f t="array" ref="S10">_xlfn.IFS(L10&gt;=8,"HIGH",L10&gt;=5,"MEDIUM",L10&lt;5,"LOW")</f>
        <v>MEDIUM</v>
      </c>
      <c r="T10" s="1" t="str">
        <f t="shared" si="4"/>
        <v>Low</v>
      </c>
      <c r="V10" t="s">
        <v>10</v>
      </c>
      <c r="W10" t="s">
        <v>8</v>
      </c>
      <c r="X10" t="s">
        <v>11</v>
      </c>
    </row>
    <row r="11" spans="1:24" x14ac:dyDescent="0.35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O11" s="1">
        <f t="shared" si="0"/>
        <v>8903.3000000000011</v>
      </c>
      <c r="P11" s="1">
        <f t="shared" si="1"/>
        <v>1780.6600000000003</v>
      </c>
      <c r="Q11" s="1">
        <f t="shared" si="2"/>
        <v>7122.6400000000012</v>
      </c>
      <c r="R11" s="1" t="str">
        <f t="shared" si="3"/>
        <v>LOW</v>
      </c>
      <c r="S11" s="1" t="str" cm="1">
        <f t="array" ref="S11">_xlfn.IFS(L11&gt;=8,"HIGH",L11&gt;=5,"MEDIUM",L11&lt;5,"LOW")</f>
        <v>MEDIUM</v>
      </c>
      <c r="T11" s="1" t="str">
        <f t="shared" si="4"/>
        <v>Medium</v>
      </c>
      <c r="V11" t="s">
        <v>20</v>
      </c>
      <c r="W11" t="s">
        <v>18</v>
      </c>
      <c r="X11">
        <f>SUMIFS($L$2:$L$373,$K$2:$K$373,V11,$I$2:$I$373,W11)</f>
        <v>39</v>
      </c>
    </row>
    <row r="12" spans="1:24" x14ac:dyDescent="0.35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O12" s="1">
        <f t="shared" si="0"/>
        <v>19231.5</v>
      </c>
      <c r="P12" s="1">
        <f t="shared" si="1"/>
        <v>0</v>
      </c>
      <c r="Q12" s="1">
        <f t="shared" si="2"/>
        <v>19231.5</v>
      </c>
      <c r="R12" s="1" t="str">
        <f t="shared" si="3"/>
        <v>HIGH</v>
      </c>
      <c r="S12" s="1" t="str" cm="1">
        <f t="array" ref="S12">_xlfn.IFS(L12&gt;=8,"HIGH",L12&gt;=5,"MEDIUM",L12&lt;5,"LOW")</f>
        <v>MEDIUM</v>
      </c>
      <c r="T12" s="1" t="str">
        <f t="shared" si="4"/>
        <v>Low</v>
      </c>
      <c r="V12" t="s">
        <v>46</v>
      </c>
      <c r="W12" t="s">
        <v>30</v>
      </c>
      <c r="X12">
        <f t="shared" ref="X12:X13" si="5">SUMIFS($L$2:$L$373,$K$2:$K$373,V12,$I$2:$I$373,W12)</f>
        <v>63</v>
      </c>
    </row>
    <row r="13" spans="1:24" x14ac:dyDescent="0.35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O13" s="1">
        <f t="shared" si="0"/>
        <v>1634.1000000000001</v>
      </c>
      <c r="P13" s="1">
        <f t="shared" si="1"/>
        <v>81.705000000000013</v>
      </c>
      <c r="Q13" s="1">
        <f t="shared" si="2"/>
        <v>1552.3950000000002</v>
      </c>
      <c r="R13" s="1" t="str">
        <f t="shared" si="3"/>
        <v>LOW</v>
      </c>
      <c r="S13" s="1" t="str" cm="1">
        <f t="array" ref="S13">_xlfn.IFS(L13&gt;=8,"HIGH",L13&gt;=5,"MEDIUM",L13&lt;5,"LOW")</f>
        <v>MEDIUM</v>
      </c>
      <c r="T13" s="1" t="str">
        <f t="shared" si="4"/>
        <v>Low</v>
      </c>
      <c r="V13" t="s">
        <v>44</v>
      </c>
      <c r="W13" s="1" t="s">
        <v>48</v>
      </c>
      <c r="X13">
        <f t="shared" si="5"/>
        <v>45</v>
      </c>
    </row>
    <row r="14" spans="1:24" x14ac:dyDescent="0.35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O14" s="1">
        <f t="shared" si="0"/>
        <v>25287.200000000001</v>
      </c>
      <c r="P14" s="1">
        <f t="shared" si="1"/>
        <v>0</v>
      </c>
      <c r="Q14" s="1">
        <f t="shared" si="2"/>
        <v>25287.200000000001</v>
      </c>
      <c r="R14" s="1" t="str">
        <f t="shared" si="3"/>
        <v>HIGH</v>
      </c>
      <c r="S14" s="1" t="str" cm="1">
        <f t="array" ref="S14">_xlfn.IFS(L14&gt;=8,"HIGH",L14&gt;=5,"MEDIUM",L14&lt;5,"LOW")</f>
        <v>HIGH</v>
      </c>
      <c r="T14" s="1" t="str">
        <f t="shared" si="4"/>
        <v>Low</v>
      </c>
      <c r="V14" t="s">
        <v>27</v>
      </c>
      <c r="W14" s="4" t="s">
        <v>25</v>
      </c>
      <c r="X14">
        <f>SUMIFS($L$2:$L$373,$K$2:$K$373,V14,$I$2:$I$373,W14)</f>
        <v>79</v>
      </c>
    </row>
    <row r="15" spans="1:24" x14ac:dyDescent="0.35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O15" s="1">
        <f t="shared" si="0"/>
        <v>8594.16</v>
      </c>
      <c r="P15" s="1">
        <f t="shared" si="1"/>
        <v>1289.124</v>
      </c>
      <c r="Q15" s="1">
        <f t="shared" si="2"/>
        <v>7305.0360000000001</v>
      </c>
      <c r="R15" s="1" t="str">
        <f t="shared" si="3"/>
        <v>LOW</v>
      </c>
      <c r="S15" s="1" t="str" cm="1">
        <f t="array" ref="S15">_xlfn.IFS(L15&gt;=8,"HIGH",L15&gt;=5,"MEDIUM",L15&lt;5,"LOW")</f>
        <v>HIGH</v>
      </c>
      <c r="T15" s="1" t="str">
        <f t="shared" si="4"/>
        <v>Low</v>
      </c>
    </row>
    <row r="16" spans="1:24" x14ac:dyDescent="0.35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O16" s="1">
        <f t="shared" si="0"/>
        <v>6350.31</v>
      </c>
      <c r="P16" s="1">
        <f t="shared" si="1"/>
        <v>635.03100000000006</v>
      </c>
      <c r="Q16" s="1">
        <f t="shared" si="2"/>
        <v>5715.2790000000005</v>
      </c>
      <c r="R16" s="1" t="str">
        <f t="shared" si="3"/>
        <v>LOW</v>
      </c>
      <c r="S16" s="1" t="str" cm="1">
        <f t="array" ref="S16">_xlfn.IFS(L16&gt;=8,"HIGH",L16&gt;=5,"MEDIUM",L16&lt;5,"LOW")</f>
        <v>HIGH</v>
      </c>
      <c r="T16" s="1" t="str">
        <f t="shared" si="4"/>
        <v>Low</v>
      </c>
      <c r="V16" t="s">
        <v>10</v>
      </c>
      <c r="W16" t="s">
        <v>87</v>
      </c>
    </row>
    <row r="17" spans="1:24" x14ac:dyDescent="0.35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O17" s="1">
        <f t="shared" si="0"/>
        <v>4763.6000000000004</v>
      </c>
      <c r="P17" s="1">
        <f t="shared" si="1"/>
        <v>238.18</v>
      </c>
      <c r="Q17" s="1">
        <f t="shared" si="2"/>
        <v>4525.42</v>
      </c>
      <c r="R17" s="1" t="str">
        <f t="shared" si="3"/>
        <v>LOW</v>
      </c>
      <c r="S17" s="1" t="str" cm="1">
        <f t="array" ref="S17">_xlfn.IFS(L17&gt;=8,"HIGH",L17&gt;=5,"MEDIUM",L17&lt;5,"LOW")</f>
        <v>HIGH</v>
      </c>
      <c r="T17" s="1" t="str">
        <f t="shared" si="4"/>
        <v>Low</v>
      </c>
      <c r="V17" t="s">
        <v>20</v>
      </c>
      <c r="W17">
        <f>AVERAGEIF($K$2:$K$373,V17,$L$2:$L$373)</f>
        <v>4.92</v>
      </c>
    </row>
    <row r="18" spans="1:24" x14ac:dyDescent="0.35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  <c r="O18" s="1">
        <f t="shared" si="0"/>
        <v>509.82</v>
      </c>
      <c r="P18" s="1">
        <f t="shared" si="1"/>
        <v>76.472999999999999</v>
      </c>
      <c r="Q18" s="1">
        <f t="shared" si="2"/>
        <v>433.34699999999998</v>
      </c>
      <c r="R18" s="1" t="str">
        <f t="shared" si="3"/>
        <v>LOW</v>
      </c>
      <c r="S18" s="1" t="str" cm="1">
        <f t="array" ref="S18">_xlfn.IFS(L18&gt;=8,"HIGH",L18&gt;=5,"MEDIUM",L18&lt;5,"LOW")</f>
        <v>LOW</v>
      </c>
      <c r="T18" s="1" t="str">
        <f t="shared" si="4"/>
        <v>Low</v>
      </c>
      <c r="V18" t="s">
        <v>46</v>
      </c>
      <c r="W18">
        <f t="shared" ref="W18:W20" si="6">AVERAGEIF($K$2:$K$373,V18,$L$2:$L$373)</f>
        <v>4.7837837837837842</v>
      </c>
    </row>
    <row r="19" spans="1:24" x14ac:dyDescent="0.35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  <c r="O19" s="1">
        <f t="shared" si="0"/>
        <v>2165.81</v>
      </c>
      <c r="P19" s="1">
        <f t="shared" si="1"/>
        <v>324.87149999999997</v>
      </c>
      <c r="Q19" s="1">
        <f t="shared" si="2"/>
        <v>1840.9385</v>
      </c>
      <c r="R19" s="1" t="str">
        <f t="shared" si="3"/>
        <v>LOW</v>
      </c>
      <c r="S19" s="1" t="str" cm="1">
        <f t="array" ref="S19">_xlfn.IFS(L19&gt;=8,"HIGH",L19&gt;=5,"MEDIUM",L19&lt;5,"LOW")</f>
        <v>LOW</v>
      </c>
      <c r="T19" s="1" t="str">
        <f t="shared" si="4"/>
        <v>Low</v>
      </c>
      <c r="V19" t="s">
        <v>44</v>
      </c>
      <c r="W19">
        <f t="shared" si="6"/>
        <v>4.8481012658227849</v>
      </c>
    </row>
    <row r="20" spans="1:24" x14ac:dyDescent="0.35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O20" s="1">
        <f t="shared" si="0"/>
        <v>1980.6</v>
      </c>
      <c r="P20" s="1">
        <f t="shared" si="1"/>
        <v>297.08999999999997</v>
      </c>
      <c r="Q20" s="1">
        <f t="shared" si="2"/>
        <v>1683.51</v>
      </c>
      <c r="R20" s="1" t="str">
        <f t="shared" si="3"/>
        <v>LOW</v>
      </c>
      <c r="S20" s="1" t="str" cm="1">
        <f t="array" ref="S20">_xlfn.IFS(L20&gt;=8,"HIGH",L20&gt;=5,"MEDIUM",L20&lt;5,"LOW")</f>
        <v>LOW</v>
      </c>
      <c r="T20" s="1" t="str">
        <f t="shared" si="4"/>
        <v>Low</v>
      </c>
      <c r="V20" t="s">
        <v>27</v>
      </c>
      <c r="W20">
        <f t="shared" si="6"/>
        <v>5.0163934426229506</v>
      </c>
    </row>
    <row r="21" spans="1:24" x14ac:dyDescent="0.35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  <c r="O21" s="1">
        <f t="shared" si="0"/>
        <v>7918.62</v>
      </c>
      <c r="P21" s="1">
        <f t="shared" si="1"/>
        <v>395.93099999999998</v>
      </c>
      <c r="Q21" s="1">
        <f t="shared" si="2"/>
        <v>7522.6890000000003</v>
      </c>
      <c r="R21" s="1" t="str">
        <f t="shared" si="3"/>
        <v>LOW</v>
      </c>
      <c r="S21" s="1" t="str" cm="1">
        <f t="array" ref="S21">_xlfn.IFS(L21&gt;=8,"HIGH",L21&gt;=5,"MEDIUM",L21&lt;5,"LOW")</f>
        <v>LOW</v>
      </c>
      <c r="T21" s="1" t="str">
        <f t="shared" si="4"/>
        <v>Low</v>
      </c>
    </row>
    <row r="22" spans="1:24" x14ac:dyDescent="0.35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  <c r="O22" s="1">
        <f t="shared" si="0"/>
        <v>7084.74</v>
      </c>
      <c r="P22" s="1">
        <f t="shared" si="1"/>
        <v>354.23699999999997</v>
      </c>
      <c r="Q22" s="1">
        <f t="shared" si="2"/>
        <v>6730.5029999999997</v>
      </c>
      <c r="R22" s="1" t="str">
        <f t="shared" si="3"/>
        <v>LOW</v>
      </c>
      <c r="S22" s="1" t="str" cm="1">
        <f t="array" ref="S22">_xlfn.IFS(L22&gt;=8,"HIGH",L22&gt;=5,"MEDIUM",L22&lt;5,"LOW")</f>
        <v>LOW</v>
      </c>
      <c r="T22" s="1" t="str">
        <f t="shared" si="4"/>
        <v>Low</v>
      </c>
    </row>
    <row r="23" spans="1:24" x14ac:dyDescent="0.35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  <c r="O23" s="1">
        <f t="shared" si="0"/>
        <v>4766.0200000000004</v>
      </c>
      <c r="P23" s="1">
        <f t="shared" si="1"/>
        <v>953.20400000000006</v>
      </c>
      <c r="Q23" s="1">
        <f t="shared" si="2"/>
        <v>3812.8160000000003</v>
      </c>
      <c r="R23" s="1" t="str">
        <f t="shared" si="3"/>
        <v>LOW</v>
      </c>
      <c r="S23" s="1" t="str" cm="1">
        <f t="array" ref="S23">_xlfn.IFS(L23&gt;=8,"HIGH",L23&gt;=5,"MEDIUM",L23&lt;5,"LOW")</f>
        <v>MEDIUM</v>
      </c>
      <c r="T23" s="1" t="str">
        <f t="shared" si="4"/>
        <v>Low</v>
      </c>
      <c r="V23" t="s">
        <v>10</v>
      </c>
      <c r="W23" t="s">
        <v>8</v>
      </c>
      <c r="X23" t="s">
        <v>88</v>
      </c>
    </row>
    <row r="24" spans="1:24" x14ac:dyDescent="0.35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  <c r="O24" s="1">
        <f t="shared" si="0"/>
        <v>5603.48</v>
      </c>
      <c r="P24" s="1">
        <f t="shared" si="1"/>
        <v>1120.6959999999999</v>
      </c>
      <c r="Q24" s="1">
        <f t="shared" si="2"/>
        <v>4482.7839999999997</v>
      </c>
      <c r="R24" s="1" t="str">
        <f t="shared" si="3"/>
        <v>LOW</v>
      </c>
      <c r="S24" s="1" t="str" cm="1">
        <f t="array" ref="S24">_xlfn.IFS(L24&gt;=8,"HIGH",L24&gt;=5,"MEDIUM",L24&lt;5,"LOW")</f>
        <v>LOW</v>
      </c>
      <c r="T24" s="1" t="str">
        <f t="shared" si="4"/>
        <v>Low</v>
      </c>
      <c r="V24" t="s">
        <v>20</v>
      </c>
      <c r="W24" t="s">
        <v>18</v>
      </c>
      <c r="X24">
        <f>AVERAGEIFS($L$2:$L$373,$K$2:$K$373,V24,$I$2:$I$373,W24)</f>
        <v>6.5</v>
      </c>
    </row>
    <row r="25" spans="1:24" x14ac:dyDescent="0.35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  <c r="O25" s="1">
        <f t="shared" si="0"/>
        <v>3606.31</v>
      </c>
      <c r="P25" s="1">
        <f t="shared" si="1"/>
        <v>0</v>
      </c>
      <c r="Q25" s="1">
        <f t="shared" si="2"/>
        <v>3606.31</v>
      </c>
      <c r="R25" s="1" t="str">
        <f t="shared" si="3"/>
        <v>LOW</v>
      </c>
      <c r="S25" s="1" t="str" cm="1">
        <f t="array" ref="S25">_xlfn.IFS(L25&gt;=8,"HIGH",L25&gt;=5,"MEDIUM",L25&lt;5,"LOW")</f>
        <v>LOW</v>
      </c>
      <c r="T25" s="1" t="str">
        <f t="shared" si="4"/>
        <v>Low</v>
      </c>
      <c r="V25" t="s">
        <v>46</v>
      </c>
      <c r="W25" t="s">
        <v>30</v>
      </c>
      <c r="X25">
        <f t="shared" ref="X25:X27" si="7">AVERAGEIFS($L$2:$L$373,$K$2:$K$373,V25,$I$2:$I$373,W25)</f>
        <v>4.5</v>
      </c>
    </row>
    <row r="26" spans="1:24" x14ac:dyDescent="0.35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  <c r="O26" s="1">
        <f t="shared" si="0"/>
        <v>18113.64</v>
      </c>
      <c r="P26" s="1">
        <f t="shared" si="1"/>
        <v>905.68200000000002</v>
      </c>
      <c r="Q26" s="1">
        <f t="shared" si="2"/>
        <v>17207.957999999999</v>
      </c>
      <c r="R26" s="1" t="str">
        <f t="shared" si="3"/>
        <v>HIGH</v>
      </c>
      <c r="S26" s="1" t="str" cm="1">
        <f t="array" ref="S26">_xlfn.IFS(L26&gt;=8,"HIGH",L26&gt;=5,"MEDIUM",L26&lt;5,"LOW")</f>
        <v>MEDIUM</v>
      </c>
      <c r="T26" s="1" t="str">
        <f t="shared" si="4"/>
        <v>Low</v>
      </c>
      <c r="V26" t="s">
        <v>44</v>
      </c>
      <c r="W26" s="1" t="s">
        <v>48</v>
      </c>
      <c r="X26">
        <f t="shared" si="7"/>
        <v>5.625</v>
      </c>
    </row>
    <row r="27" spans="1:24" x14ac:dyDescent="0.35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  <c r="O27" s="1">
        <f t="shared" si="0"/>
        <v>3998.61</v>
      </c>
      <c r="P27" s="1">
        <f t="shared" si="1"/>
        <v>199.93049999999999</v>
      </c>
      <c r="Q27" s="1">
        <f t="shared" si="2"/>
        <v>3798.6795000000002</v>
      </c>
      <c r="R27" s="1" t="str">
        <f t="shared" si="3"/>
        <v>LOW</v>
      </c>
      <c r="S27" s="1" t="str" cm="1">
        <f t="array" ref="S27">_xlfn.IFS(L27&gt;=8,"HIGH",L27&gt;=5,"MEDIUM",L27&lt;5,"LOW")</f>
        <v>HIGH</v>
      </c>
      <c r="T27" s="1" t="str">
        <f t="shared" si="4"/>
        <v>Low</v>
      </c>
      <c r="V27" t="s">
        <v>27</v>
      </c>
      <c r="W27" s="4" t="s">
        <v>25</v>
      </c>
      <c r="X27">
        <f t="shared" si="7"/>
        <v>6.0769230769230766</v>
      </c>
    </row>
    <row r="28" spans="1:24" x14ac:dyDescent="0.35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  <c r="O28" s="1">
        <f t="shared" si="0"/>
        <v>10797.45</v>
      </c>
      <c r="P28" s="1">
        <f t="shared" si="1"/>
        <v>539.87249999999995</v>
      </c>
      <c r="Q28" s="1">
        <f t="shared" si="2"/>
        <v>10257.577500000001</v>
      </c>
      <c r="R28" s="1" t="str">
        <f t="shared" si="3"/>
        <v>HIGH</v>
      </c>
      <c r="S28" s="1" t="str" cm="1">
        <f t="array" ref="S28">_xlfn.IFS(L28&gt;=8,"HIGH",L28&gt;=5,"MEDIUM",L28&lt;5,"LOW")</f>
        <v>LOW</v>
      </c>
      <c r="T28" s="1" t="str">
        <f t="shared" si="4"/>
        <v>Low</v>
      </c>
    </row>
    <row r="29" spans="1:24" x14ac:dyDescent="0.35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  <c r="O29" s="1">
        <f t="shared" si="0"/>
        <v>19239.78</v>
      </c>
      <c r="P29" s="1">
        <f t="shared" si="1"/>
        <v>3847.9559999999997</v>
      </c>
      <c r="Q29" s="1">
        <f t="shared" si="2"/>
        <v>15391.823999999999</v>
      </c>
      <c r="R29" s="1" t="str">
        <f t="shared" si="3"/>
        <v>HIGH</v>
      </c>
      <c r="S29" s="1" t="str" cm="1">
        <f t="array" ref="S29">_xlfn.IFS(L29&gt;=8,"HIGH",L29&gt;=5,"MEDIUM",L29&lt;5,"LOW")</f>
        <v>MEDIUM</v>
      </c>
      <c r="T29" s="1" t="str">
        <f t="shared" si="4"/>
        <v>High</v>
      </c>
      <c r="V29" t="s">
        <v>89</v>
      </c>
    </row>
    <row r="30" spans="1:24" x14ac:dyDescent="0.35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  <c r="O30" s="1">
        <f t="shared" si="0"/>
        <v>2278.41</v>
      </c>
      <c r="P30" s="1">
        <f t="shared" si="1"/>
        <v>341.76149999999996</v>
      </c>
      <c r="Q30" s="1">
        <f t="shared" si="2"/>
        <v>1936.6484999999998</v>
      </c>
      <c r="R30" s="1" t="str">
        <f t="shared" si="3"/>
        <v>LOW</v>
      </c>
      <c r="S30" s="1" t="str" cm="1">
        <f t="array" ref="S30">_xlfn.IFS(L30&gt;=8,"HIGH",L30&gt;=5,"MEDIUM",L30&lt;5,"LOW")</f>
        <v>LOW</v>
      </c>
      <c r="T30" s="1" t="str">
        <f t="shared" si="4"/>
        <v>Low</v>
      </c>
      <c r="V30">
        <v>40</v>
      </c>
    </row>
    <row r="31" spans="1:24" x14ac:dyDescent="0.35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  <c r="O31" s="1">
        <f t="shared" si="0"/>
        <v>349.38</v>
      </c>
      <c r="P31" s="1">
        <f t="shared" si="1"/>
        <v>34.938000000000002</v>
      </c>
      <c r="Q31" s="1">
        <f t="shared" si="2"/>
        <v>314.44200000000001</v>
      </c>
      <c r="R31" s="1" t="str">
        <f t="shared" si="3"/>
        <v>LOW</v>
      </c>
      <c r="S31" s="1" t="str" cm="1">
        <f t="array" ref="S31">_xlfn.IFS(L31&gt;=8,"HIGH",L31&gt;=5,"MEDIUM",L31&lt;5,"LOW")</f>
        <v>LOW</v>
      </c>
      <c r="T31" s="1" t="str">
        <f t="shared" si="4"/>
        <v>Low</v>
      </c>
      <c r="V31">
        <v>45</v>
      </c>
    </row>
    <row r="32" spans="1:24" x14ac:dyDescent="0.35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  <c r="O32" s="1">
        <f t="shared" si="0"/>
        <v>11478.25</v>
      </c>
      <c r="P32" s="1">
        <f t="shared" si="1"/>
        <v>2295.65</v>
      </c>
      <c r="Q32" s="1">
        <f t="shared" si="2"/>
        <v>9182.6</v>
      </c>
      <c r="R32" s="1" t="str">
        <f t="shared" si="3"/>
        <v>LOW</v>
      </c>
      <c r="S32" s="1" t="str" cm="1">
        <f t="array" ref="S32">_xlfn.IFS(L32&gt;=8,"HIGH",L32&gt;=5,"MEDIUM",L32&lt;5,"LOW")</f>
        <v>MEDIUM</v>
      </c>
      <c r="T32" s="1" t="str">
        <f t="shared" si="4"/>
        <v>Medium</v>
      </c>
      <c r="V32" t="b">
        <v>1</v>
      </c>
    </row>
    <row r="33" spans="1:24" x14ac:dyDescent="0.35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  <c r="O33" s="1">
        <f t="shared" si="0"/>
        <v>3002.96</v>
      </c>
      <c r="P33" s="1">
        <f t="shared" si="1"/>
        <v>150.148</v>
      </c>
      <c r="Q33" s="1">
        <f t="shared" si="2"/>
        <v>2852.8119999999999</v>
      </c>
      <c r="R33" s="1" t="str">
        <f t="shared" si="3"/>
        <v>LOW</v>
      </c>
      <c r="S33" s="1" t="str" cm="1">
        <f t="array" ref="S33">_xlfn.IFS(L33&gt;=8,"HIGH",L33&gt;=5,"MEDIUM",L33&lt;5,"LOW")</f>
        <v>LOW</v>
      </c>
      <c r="T33" s="1" t="str">
        <f t="shared" si="4"/>
        <v>Low</v>
      </c>
      <c r="V33" t="b">
        <v>0</v>
      </c>
    </row>
    <row r="34" spans="1:24" x14ac:dyDescent="0.35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  <c r="O34" s="1">
        <f t="shared" si="0"/>
        <v>23542.26</v>
      </c>
      <c r="P34" s="1">
        <f t="shared" si="1"/>
        <v>4708.4519999999993</v>
      </c>
      <c r="Q34" s="1">
        <f t="shared" si="2"/>
        <v>18833.807999999997</v>
      </c>
      <c r="R34" s="1" t="str">
        <f t="shared" si="3"/>
        <v>HIGH</v>
      </c>
      <c r="S34" s="1" t="str" cm="1">
        <f t="array" ref="S34">_xlfn.IFS(L34&gt;=8,"HIGH",L34&gt;=5,"MEDIUM",L34&lt;5,"LOW")</f>
        <v>MEDIUM</v>
      </c>
      <c r="T34" s="1" t="str">
        <f t="shared" si="4"/>
        <v>High</v>
      </c>
      <c r="V34">
        <f>AVERAGEA(V29:V33)</f>
        <v>17.2</v>
      </c>
    </row>
    <row r="35" spans="1:24" x14ac:dyDescent="0.35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  <c r="O35" s="1">
        <f t="shared" si="0"/>
        <v>9177.5399999999991</v>
      </c>
      <c r="P35" s="1">
        <f t="shared" si="1"/>
        <v>0</v>
      </c>
      <c r="Q35" s="1">
        <f t="shared" si="2"/>
        <v>9177.5399999999991</v>
      </c>
      <c r="R35" s="1" t="str">
        <f t="shared" si="3"/>
        <v>LOW</v>
      </c>
      <c r="S35" s="1" t="str" cm="1">
        <f t="array" ref="S35">_xlfn.IFS(L35&gt;=8,"HIGH",L35&gt;=5,"MEDIUM",L35&lt;5,"LOW")</f>
        <v>MEDIUM</v>
      </c>
      <c r="T35" s="1" t="str">
        <f t="shared" si="4"/>
        <v>Low</v>
      </c>
    </row>
    <row r="36" spans="1:24" x14ac:dyDescent="0.35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  <c r="O36" s="1">
        <f t="shared" si="0"/>
        <v>25652.48</v>
      </c>
      <c r="P36" s="1">
        <f t="shared" si="1"/>
        <v>1282.624</v>
      </c>
      <c r="Q36" s="1">
        <f t="shared" si="2"/>
        <v>24369.856</v>
      </c>
      <c r="R36" s="1" t="str">
        <f t="shared" si="3"/>
        <v>HIGH</v>
      </c>
      <c r="S36" s="1" t="str" cm="1">
        <f t="array" ref="S36">_xlfn.IFS(L36&gt;=8,"HIGH",L36&gt;=5,"MEDIUM",L36&lt;5,"LOW")</f>
        <v>MEDIUM</v>
      </c>
      <c r="T36" s="1" t="str">
        <f t="shared" si="4"/>
        <v>Low</v>
      </c>
    </row>
    <row r="37" spans="1:24" x14ac:dyDescent="0.35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  <c r="O37" s="1">
        <f t="shared" si="0"/>
        <v>11639.5</v>
      </c>
      <c r="P37" s="1">
        <f t="shared" si="1"/>
        <v>0</v>
      </c>
      <c r="Q37" s="1">
        <f t="shared" si="2"/>
        <v>11639.5</v>
      </c>
      <c r="R37" s="1" t="str">
        <f t="shared" si="3"/>
        <v>HIGH</v>
      </c>
      <c r="S37" s="1" t="str" cm="1">
        <f t="array" ref="S37">_xlfn.IFS(L37&gt;=8,"HIGH",L37&gt;=5,"MEDIUM",L37&lt;5,"LOW")</f>
        <v>MEDIUM</v>
      </c>
      <c r="T37" s="1" t="str">
        <f t="shared" si="4"/>
        <v>Low</v>
      </c>
      <c r="W37" s="1" t="s">
        <v>90</v>
      </c>
      <c r="X37">
        <f>SUMPRODUCT(L2:L373,M2:M373)</f>
        <v>3664518.5400000005</v>
      </c>
    </row>
    <row r="38" spans="1:24" x14ac:dyDescent="0.35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  <c r="O38" s="1">
        <f t="shared" si="0"/>
        <v>3413.16</v>
      </c>
      <c r="P38" s="1">
        <f t="shared" si="1"/>
        <v>170.65799999999999</v>
      </c>
      <c r="Q38" s="1">
        <f t="shared" si="2"/>
        <v>3242.502</v>
      </c>
      <c r="R38" s="1" t="str">
        <f t="shared" si="3"/>
        <v>LOW</v>
      </c>
      <c r="S38" s="1" t="str" cm="1">
        <f t="array" ref="S38">_xlfn.IFS(L38&gt;=8,"HIGH",L38&gt;=5,"MEDIUM",L38&lt;5,"LOW")</f>
        <v>LOW</v>
      </c>
      <c r="T38" s="1" t="str">
        <f t="shared" si="4"/>
        <v>Low</v>
      </c>
    </row>
    <row r="39" spans="1:24" x14ac:dyDescent="0.35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  <c r="O39" s="1">
        <f t="shared" si="0"/>
        <v>4812.22</v>
      </c>
      <c r="P39" s="1">
        <f t="shared" si="1"/>
        <v>962.44400000000007</v>
      </c>
      <c r="Q39" s="1">
        <f t="shared" si="2"/>
        <v>3849.7760000000003</v>
      </c>
      <c r="R39" s="1" t="str">
        <f t="shared" si="3"/>
        <v>LOW</v>
      </c>
      <c r="S39" s="1" t="str" cm="1">
        <f t="array" ref="S39">_xlfn.IFS(L39&gt;=8,"HIGH",L39&gt;=5,"MEDIUM",L39&lt;5,"LOW")</f>
        <v>MEDIUM</v>
      </c>
      <c r="T39" s="1" t="str">
        <f t="shared" si="4"/>
        <v>Low</v>
      </c>
      <c r="V39" t="s">
        <v>92</v>
      </c>
      <c r="W39" t="s">
        <v>91</v>
      </c>
    </row>
    <row r="40" spans="1:24" x14ac:dyDescent="0.35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  <c r="O40" s="1">
        <f t="shared" si="0"/>
        <v>16585.940000000002</v>
      </c>
      <c r="P40" s="1">
        <f t="shared" si="1"/>
        <v>2487.8910000000005</v>
      </c>
      <c r="Q40" s="1">
        <f t="shared" si="2"/>
        <v>14098.049000000003</v>
      </c>
      <c r="R40" s="1" t="str">
        <f t="shared" si="3"/>
        <v>HIGH</v>
      </c>
      <c r="S40" s="1" t="str" cm="1">
        <f t="array" ref="S40">_xlfn.IFS(L40&gt;=8,"HIGH",L40&gt;=5,"MEDIUM",L40&lt;5,"LOW")</f>
        <v>MEDIUM</v>
      </c>
      <c r="T40" s="1" t="str">
        <f t="shared" si="4"/>
        <v>Medium</v>
      </c>
      <c r="V40" t="s">
        <v>20</v>
      </c>
      <c r="W40" cm="1">
        <f t="array" ref="W40">SUMPRODUCT(L2:L373,M2:M373,--(K2:K373=V40))</f>
        <v>737855.54000000015</v>
      </c>
    </row>
    <row r="41" spans="1:24" x14ac:dyDescent="0.35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  <c r="O41" s="1">
        <f t="shared" si="0"/>
        <v>18499.5</v>
      </c>
      <c r="P41" s="1">
        <f t="shared" si="1"/>
        <v>1849.95</v>
      </c>
      <c r="Q41" s="1">
        <f t="shared" si="2"/>
        <v>16649.55</v>
      </c>
      <c r="R41" s="1" t="str">
        <f t="shared" si="3"/>
        <v>HIGH</v>
      </c>
      <c r="S41" s="1" t="str" cm="1">
        <f t="array" ref="S41">_xlfn.IFS(L41&gt;=8,"HIGH",L41&gt;=5,"MEDIUM",L41&lt;5,"LOW")</f>
        <v>MEDIUM</v>
      </c>
      <c r="T41" s="1" t="str">
        <f t="shared" si="4"/>
        <v>Medium</v>
      </c>
    </row>
    <row r="42" spans="1:24" x14ac:dyDescent="0.35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  <c r="O42" s="1">
        <f t="shared" si="0"/>
        <v>25270.400000000001</v>
      </c>
      <c r="P42" s="1">
        <f t="shared" si="1"/>
        <v>0</v>
      </c>
      <c r="Q42" s="1">
        <f t="shared" si="2"/>
        <v>25270.400000000001</v>
      </c>
      <c r="R42" s="1" t="str">
        <f t="shared" si="3"/>
        <v>HIGH</v>
      </c>
      <c r="S42" s="1" t="str" cm="1">
        <f t="array" ref="S42">_xlfn.IFS(L42&gt;=8,"HIGH",L42&gt;=5,"MEDIUM",L42&lt;5,"LOW")</f>
        <v>HIGH</v>
      </c>
      <c r="T42" s="1" t="str">
        <f t="shared" si="4"/>
        <v>Low</v>
      </c>
    </row>
    <row r="43" spans="1:24" x14ac:dyDescent="0.35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  <c r="O43" s="1">
        <f t="shared" si="0"/>
        <v>4846.68</v>
      </c>
      <c r="P43" s="1">
        <f t="shared" si="1"/>
        <v>969.33600000000001</v>
      </c>
      <c r="Q43" s="1">
        <f t="shared" si="2"/>
        <v>3877.3440000000001</v>
      </c>
      <c r="R43" s="1" t="str">
        <f t="shared" si="3"/>
        <v>LOW</v>
      </c>
      <c r="S43" s="1" t="str" cm="1">
        <f t="array" ref="S43">_xlfn.IFS(L43&gt;=8,"HIGH",L43&gt;=5,"MEDIUM",L43&lt;5,"LOW")</f>
        <v>LOW</v>
      </c>
      <c r="T43" s="1" t="str">
        <f t="shared" si="4"/>
        <v>Low</v>
      </c>
    </row>
    <row r="44" spans="1:24" x14ac:dyDescent="0.35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  <c r="O44" s="1">
        <f t="shared" si="0"/>
        <v>4681.75</v>
      </c>
      <c r="P44" s="1">
        <f t="shared" si="1"/>
        <v>702.26250000000005</v>
      </c>
      <c r="Q44" s="1">
        <f t="shared" si="2"/>
        <v>3979.4875000000002</v>
      </c>
      <c r="R44" s="1" t="str">
        <f t="shared" si="3"/>
        <v>LOW</v>
      </c>
      <c r="S44" s="1" t="str" cm="1">
        <f t="array" ref="S44">_xlfn.IFS(L44&gt;=8,"HIGH",L44&gt;=5,"MEDIUM",L44&lt;5,"LOW")</f>
        <v>MEDIUM</v>
      </c>
      <c r="T44" s="1" t="str">
        <f t="shared" si="4"/>
        <v>Low</v>
      </c>
    </row>
    <row r="45" spans="1:24" x14ac:dyDescent="0.35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  <c r="O45" s="1">
        <f t="shared" si="0"/>
        <v>858.04</v>
      </c>
      <c r="P45" s="1">
        <f t="shared" si="1"/>
        <v>171.608</v>
      </c>
      <c r="Q45" s="1">
        <f t="shared" si="2"/>
        <v>686.43200000000002</v>
      </c>
      <c r="R45" s="1" t="str">
        <f t="shared" si="3"/>
        <v>LOW</v>
      </c>
      <c r="S45" s="1" t="str" cm="1">
        <f t="array" ref="S45">_xlfn.IFS(L45&gt;=8,"HIGH",L45&gt;=5,"MEDIUM",L45&lt;5,"LOW")</f>
        <v>LOW</v>
      </c>
      <c r="T45" s="1" t="str">
        <f t="shared" si="4"/>
        <v>Low</v>
      </c>
    </row>
    <row r="46" spans="1:24" x14ac:dyDescent="0.35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  <c r="O46" s="1">
        <f t="shared" si="0"/>
        <v>2764.92</v>
      </c>
      <c r="P46" s="1">
        <f t="shared" si="1"/>
        <v>0</v>
      </c>
      <c r="Q46" s="1">
        <f t="shared" si="2"/>
        <v>2764.92</v>
      </c>
      <c r="R46" s="1" t="str">
        <f t="shared" si="3"/>
        <v>LOW</v>
      </c>
      <c r="S46" s="1" t="str" cm="1">
        <f t="array" ref="S46">_xlfn.IFS(L46&gt;=8,"HIGH",L46&gt;=5,"MEDIUM",L46&lt;5,"LOW")</f>
        <v>LOW</v>
      </c>
      <c r="T46" s="1" t="str">
        <f t="shared" si="4"/>
        <v>Low</v>
      </c>
    </row>
    <row r="47" spans="1:24" x14ac:dyDescent="0.35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  <c r="O47" s="1">
        <f t="shared" si="0"/>
        <v>3558.32</v>
      </c>
      <c r="P47" s="1">
        <f t="shared" si="1"/>
        <v>355.83200000000005</v>
      </c>
      <c r="Q47" s="1">
        <f t="shared" si="2"/>
        <v>3202.4880000000003</v>
      </c>
      <c r="R47" s="1" t="str">
        <f t="shared" si="3"/>
        <v>LOW</v>
      </c>
      <c r="S47" s="1" t="str" cm="1">
        <f t="array" ref="S47">_xlfn.IFS(L47&gt;=8,"HIGH",L47&gt;=5,"MEDIUM",L47&lt;5,"LOW")</f>
        <v>HIGH</v>
      </c>
      <c r="T47" s="1" t="str">
        <f t="shared" si="4"/>
        <v>Low</v>
      </c>
    </row>
    <row r="48" spans="1:24" x14ac:dyDescent="0.35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  <c r="O48" s="1">
        <f t="shared" si="0"/>
        <v>1769.93</v>
      </c>
      <c r="P48" s="1">
        <f t="shared" si="1"/>
        <v>353.98599999999999</v>
      </c>
      <c r="Q48" s="1">
        <f t="shared" si="2"/>
        <v>1415.944</v>
      </c>
      <c r="R48" s="1" t="str">
        <f t="shared" si="3"/>
        <v>LOW</v>
      </c>
      <c r="S48" s="1" t="str" cm="1">
        <f t="array" ref="S48">_xlfn.IFS(L48&gt;=8,"HIGH",L48&gt;=5,"MEDIUM",L48&lt;5,"LOW")</f>
        <v>LOW</v>
      </c>
      <c r="T48" s="1" t="str">
        <f t="shared" si="4"/>
        <v>Low</v>
      </c>
    </row>
    <row r="49" spans="1:20" x14ac:dyDescent="0.35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  <c r="O49" s="1">
        <f t="shared" si="0"/>
        <v>12332.4</v>
      </c>
      <c r="P49" s="1">
        <f t="shared" si="1"/>
        <v>616.62</v>
      </c>
      <c r="Q49" s="1">
        <f t="shared" si="2"/>
        <v>11715.779999999999</v>
      </c>
      <c r="R49" s="1" t="str">
        <f t="shared" si="3"/>
        <v>HIGH</v>
      </c>
      <c r="S49" s="1" t="str" cm="1">
        <f t="array" ref="S49">_xlfn.IFS(L49&gt;=8,"HIGH",L49&gt;=5,"MEDIUM",L49&lt;5,"LOW")</f>
        <v>MEDIUM</v>
      </c>
      <c r="T49" s="1" t="str">
        <f t="shared" si="4"/>
        <v>Low</v>
      </c>
    </row>
    <row r="50" spans="1:20" x14ac:dyDescent="0.35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  <c r="O50" s="1">
        <f t="shared" si="0"/>
        <v>22547.22</v>
      </c>
      <c r="P50" s="1">
        <f t="shared" si="1"/>
        <v>3382.0830000000005</v>
      </c>
      <c r="Q50" s="1">
        <f t="shared" si="2"/>
        <v>19165.137000000002</v>
      </c>
      <c r="R50" s="1" t="str">
        <f t="shared" si="3"/>
        <v>HIGH</v>
      </c>
      <c r="S50" s="1" t="str" cm="1">
        <f t="array" ref="S50">_xlfn.IFS(L50&gt;=8,"HIGH",L50&gt;=5,"MEDIUM",L50&lt;5,"LOW")</f>
        <v>MEDIUM</v>
      </c>
      <c r="T50" s="1" t="str">
        <f t="shared" si="4"/>
        <v>High</v>
      </c>
    </row>
    <row r="51" spans="1:20" x14ac:dyDescent="0.35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  <c r="O51" s="1">
        <f t="shared" si="0"/>
        <v>8102.64</v>
      </c>
      <c r="P51" s="1">
        <f t="shared" si="1"/>
        <v>1620.5280000000002</v>
      </c>
      <c r="Q51" s="1">
        <f t="shared" si="2"/>
        <v>6482.1120000000001</v>
      </c>
      <c r="R51" s="1" t="str">
        <f t="shared" si="3"/>
        <v>LOW</v>
      </c>
      <c r="S51" s="1" t="str" cm="1">
        <f t="array" ref="S51">_xlfn.IFS(L51&gt;=8,"HIGH",L51&gt;=5,"MEDIUM",L51&lt;5,"LOW")</f>
        <v>MEDIUM</v>
      </c>
      <c r="T51" s="1" t="str">
        <f t="shared" si="4"/>
        <v>Medium</v>
      </c>
    </row>
    <row r="52" spans="1:20" x14ac:dyDescent="0.35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  <c r="O52" s="1">
        <f t="shared" si="0"/>
        <v>8005.5599999999995</v>
      </c>
      <c r="P52" s="1">
        <f t="shared" si="1"/>
        <v>400.27799999999996</v>
      </c>
      <c r="Q52" s="1">
        <f t="shared" si="2"/>
        <v>7605.2819999999992</v>
      </c>
      <c r="R52" s="1" t="str">
        <f t="shared" si="3"/>
        <v>LOW</v>
      </c>
      <c r="S52" s="1" t="str" cm="1">
        <f t="array" ref="S52">_xlfn.IFS(L52&gt;=8,"HIGH",L52&gt;=5,"MEDIUM",L52&lt;5,"LOW")</f>
        <v>LOW</v>
      </c>
      <c r="T52" s="1" t="str">
        <f t="shared" si="4"/>
        <v>Low</v>
      </c>
    </row>
    <row r="53" spans="1:20" x14ac:dyDescent="0.35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  <c r="O53" s="1">
        <f t="shared" si="0"/>
        <v>12670.35</v>
      </c>
      <c r="P53" s="1">
        <f t="shared" si="1"/>
        <v>1267.0350000000001</v>
      </c>
      <c r="Q53" s="1">
        <f t="shared" si="2"/>
        <v>11403.315000000001</v>
      </c>
      <c r="R53" s="1" t="str">
        <f t="shared" si="3"/>
        <v>HIGH</v>
      </c>
      <c r="S53" s="1" t="str" cm="1">
        <f t="array" ref="S53">_xlfn.IFS(L53&gt;=8,"HIGH",L53&gt;=5,"MEDIUM",L53&lt;5,"LOW")</f>
        <v>MEDIUM</v>
      </c>
      <c r="T53" s="1" t="str">
        <f t="shared" si="4"/>
        <v>Low</v>
      </c>
    </row>
    <row r="54" spans="1:20" x14ac:dyDescent="0.35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  <c r="O54" s="1">
        <f t="shared" si="0"/>
        <v>11428.96</v>
      </c>
      <c r="P54" s="1">
        <f t="shared" si="1"/>
        <v>1142.896</v>
      </c>
      <c r="Q54" s="1">
        <f t="shared" si="2"/>
        <v>10286.063999999998</v>
      </c>
      <c r="R54" s="1" t="str">
        <f t="shared" si="3"/>
        <v>HIGH</v>
      </c>
      <c r="S54" s="1" t="str" cm="1">
        <f t="array" ref="S54">_xlfn.IFS(L54&gt;=8,"HIGH",L54&gt;=5,"MEDIUM",L54&lt;5,"LOW")</f>
        <v>HIGH</v>
      </c>
      <c r="T54" s="1" t="str">
        <f t="shared" si="4"/>
        <v>Low</v>
      </c>
    </row>
    <row r="55" spans="1:20" x14ac:dyDescent="0.35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  <c r="O55" s="1">
        <f t="shared" si="0"/>
        <v>7446.38</v>
      </c>
      <c r="P55" s="1">
        <f t="shared" si="1"/>
        <v>372.31900000000002</v>
      </c>
      <c r="Q55" s="1">
        <f t="shared" si="2"/>
        <v>7074.0609999999997</v>
      </c>
      <c r="R55" s="1" t="str">
        <f t="shared" si="3"/>
        <v>LOW</v>
      </c>
      <c r="S55" s="1" t="str" cm="1">
        <f t="array" ref="S55">_xlfn.IFS(L55&gt;=8,"HIGH",L55&gt;=5,"MEDIUM",L55&lt;5,"LOW")</f>
        <v>LOW</v>
      </c>
      <c r="T55" s="1" t="str">
        <f t="shared" si="4"/>
        <v>Low</v>
      </c>
    </row>
    <row r="56" spans="1:20" x14ac:dyDescent="0.35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  <c r="O56" s="1">
        <f t="shared" si="0"/>
        <v>20416.32</v>
      </c>
      <c r="P56" s="1">
        <f t="shared" si="1"/>
        <v>3062.4479999999999</v>
      </c>
      <c r="Q56" s="1">
        <f t="shared" si="2"/>
        <v>17353.871999999999</v>
      </c>
      <c r="R56" s="1" t="str">
        <f t="shared" si="3"/>
        <v>HIGH</v>
      </c>
      <c r="S56" s="1" t="str" cm="1">
        <f t="array" ref="S56">_xlfn.IFS(L56&gt;=8,"HIGH",L56&gt;=5,"MEDIUM",L56&lt;5,"LOW")</f>
        <v>MEDIUM</v>
      </c>
      <c r="T56" s="1" t="str">
        <f t="shared" si="4"/>
        <v>High</v>
      </c>
    </row>
    <row r="57" spans="1:20" x14ac:dyDescent="0.35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  <c r="O57" s="1">
        <f t="shared" si="0"/>
        <v>9110.9700000000012</v>
      </c>
      <c r="P57" s="1">
        <f t="shared" si="1"/>
        <v>1822.1940000000002</v>
      </c>
      <c r="Q57" s="1">
        <f t="shared" si="2"/>
        <v>7288.7760000000007</v>
      </c>
      <c r="R57" s="1" t="str">
        <f t="shared" si="3"/>
        <v>LOW</v>
      </c>
      <c r="S57" s="1" t="str" cm="1">
        <f t="array" ref="S57">_xlfn.IFS(L57&gt;=8,"HIGH",L57&gt;=5,"MEDIUM",L57&lt;5,"LOW")</f>
        <v>HIGH</v>
      </c>
      <c r="T57" s="1" t="str">
        <f t="shared" si="4"/>
        <v>Medium</v>
      </c>
    </row>
    <row r="58" spans="1:20" x14ac:dyDescent="0.35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  <c r="O58" s="1">
        <f t="shared" si="0"/>
        <v>16978.88</v>
      </c>
      <c r="P58" s="1">
        <f t="shared" si="1"/>
        <v>0</v>
      </c>
      <c r="Q58" s="1">
        <f t="shared" si="2"/>
        <v>16978.88</v>
      </c>
      <c r="R58" s="1" t="str">
        <f t="shared" si="3"/>
        <v>HIGH</v>
      </c>
      <c r="S58" s="1" t="str" cm="1">
        <f t="array" ref="S58">_xlfn.IFS(L58&gt;=8,"HIGH",L58&gt;=5,"MEDIUM",L58&lt;5,"LOW")</f>
        <v>HIGH</v>
      </c>
      <c r="T58" s="1" t="str">
        <f t="shared" si="4"/>
        <v>Low</v>
      </c>
    </row>
    <row r="59" spans="1:20" x14ac:dyDescent="0.35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  <c r="O59" s="1">
        <f t="shared" si="0"/>
        <v>25026</v>
      </c>
      <c r="P59" s="1">
        <f t="shared" si="1"/>
        <v>3753.9</v>
      </c>
      <c r="Q59" s="1">
        <f t="shared" si="2"/>
        <v>21272.1</v>
      </c>
      <c r="R59" s="1" t="str">
        <f t="shared" si="3"/>
        <v>HIGH</v>
      </c>
      <c r="S59" s="1" t="str" cm="1">
        <f t="array" ref="S59">_xlfn.IFS(L59&gt;=8,"HIGH",L59&gt;=5,"MEDIUM",L59&lt;5,"LOW")</f>
        <v>HIGH</v>
      </c>
      <c r="T59" s="1" t="str">
        <f t="shared" si="4"/>
        <v>High</v>
      </c>
    </row>
    <row r="60" spans="1:20" x14ac:dyDescent="0.35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  <c r="O60" s="1">
        <f t="shared" si="0"/>
        <v>2236.92</v>
      </c>
      <c r="P60" s="1">
        <f t="shared" si="1"/>
        <v>223.69200000000001</v>
      </c>
      <c r="Q60" s="1">
        <f t="shared" si="2"/>
        <v>2013.2280000000001</v>
      </c>
      <c r="R60" s="1" t="str">
        <f t="shared" si="3"/>
        <v>LOW</v>
      </c>
      <c r="S60" s="1" t="str" cm="1">
        <f t="array" ref="S60">_xlfn.IFS(L60&gt;=8,"HIGH",L60&gt;=5,"MEDIUM",L60&lt;5,"LOW")</f>
        <v>MEDIUM</v>
      </c>
      <c r="T60" s="1" t="str">
        <f t="shared" si="4"/>
        <v>Low</v>
      </c>
    </row>
    <row r="61" spans="1:20" x14ac:dyDescent="0.35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  <c r="O61" s="1">
        <f t="shared" si="0"/>
        <v>15874.26</v>
      </c>
      <c r="P61" s="1">
        <f t="shared" si="1"/>
        <v>1587.4260000000002</v>
      </c>
      <c r="Q61" s="1">
        <f t="shared" si="2"/>
        <v>14286.834000000001</v>
      </c>
      <c r="R61" s="1" t="str">
        <f t="shared" si="3"/>
        <v>HIGH</v>
      </c>
      <c r="S61" s="1" t="str" cm="1">
        <f t="array" ref="S61">_xlfn.IFS(L61&gt;=8,"HIGH",L61&gt;=5,"MEDIUM",L61&lt;5,"LOW")</f>
        <v>MEDIUM</v>
      </c>
      <c r="T61" s="1" t="str">
        <f t="shared" si="4"/>
        <v>Medium</v>
      </c>
    </row>
    <row r="62" spans="1:20" x14ac:dyDescent="0.35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  <c r="O62" s="1">
        <f t="shared" si="0"/>
        <v>2082.4</v>
      </c>
      <c r="P62" s="1">
        <f t="shared" si="1"/>
        <v>312.36</v>
      </c>
      <c r="Q62" s="1">
        <f t="shared" si="2"/>
        <v>1770.04</v>
      </c>
      <c r="R62" s="1" t="str">
        <f t="shared" si="3"/>
        <v>LOW</v>
      </c>
      <c r="S62" s="1" t="str" cm="1">
        <f t="array" ref="S62">_xlfn.IFS(L62&gt;=8,"HIGH",L62&gt;=5,"MEDIUM",L62&lt;5,"LOW")</f>
        <v>LOW</v>
      </c>
      <c r="T62" s="1" t="str">
        <f t="shared" si="4"/>
        <v>Low</v>
      </c>
    </row>
    <row r="63" spans="1:20" x14ac:dyDescent="0.35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  <c r="O63" s="1">
        <f t="shared" si="0"/>
        <v>5546.42</v>
      </c>
      <c r="P63" s="1">
        <f t="shared" si="1"/>
        <v>554.64199999999994</v>
      </c>
      <c r="Q63" s="1">
        <f t="shared" si="2"/>
        <v>4991.7780000000002</v>
      </c>
      <c r="R63" s="1" t="str">
        <f t="shared" si="3"/>
        <v>LOW</v>
      </c>
      <c r="S63" s="1" t="str" cm="1">
        <f t="array" ref="S63">_xlfn.IFS(L63&gt;=8,"HIGH",L63&gt;=5,"MEDIUM",L63&lt;5,"LOW")</f>
        <v>LOW</v>
      </c>
      <c r="T63" s="1" t="str">
        <f t="shared" si="4"/>
        <v>Low</v>
      </c>
    </row>
    <row r="64" spans="1:20" x14ac:dyDescent="0.35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66</v>
      </c>
      <c r="K64" s="1" t="s">
        <v>44</v>
      </c>
      <c r="L64" s="1">
        <v>8</v>
      </c>
      <c r="M64" s="1">
        <v>3769.71</v>
      </c>
      <c r="N64" s="1">
        <v>5</v>
      </c>
      <c r="O64" s="1">
        <f t="shared" si="0"/>
        <v>30157.68</v>
      </c>
      <c r="P64" s="1">
        <f t="shared" si="1"/>
        <v>1507.884</v>
      </c>
      <c r="Q64" s="1">
        <f t="shared" si="2"/>
        <v>28649.796000000002</v>
      </c>
      <c r="R64" s="1" t="str">
        <f t="shared" si="3"/>
        <v>HIGH</v>
      </c>
      <c r="S64" s="1" t="str" cm="1">
        <f t="array" ref="S64">_xlfn.IFS(L64&gt;=8,"HIGH",L64&gt;=5,"MEDIUM",L64&lt;5,"LOW")</f>
        <v>HIGH</v>
      </c>
      <c r="T64" s="1" t="str">
        <f t="shared" si="4"/>
        <v>Medium</v>
      </c>
    </row>
    <row r="65" spans="1:20" x14ac:dyDescent="0.35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  <c r="O65" s="1">
        <f t="shared" si="0"/>
        <v>330.13</v>
      </c>
      <c r="P65" s="1">
        <f t="shared" si="1"/>
        <v>49.519500000000001</v>
      </c>
      <c r="Q65" s="1">
        <f t="shared" si="2"/>
        <v>280.6105</v>
      </c>
      <c r="R65" s="1" t="str">
        <f t="shared" si="3"/>
        <v>LOW</v>
      </c>
      <c r="S65" s="1" t="str" cm="1">
        <f t="array" ref="S65">_xlfn.IFS(L65&gt;=8,"HIGH",L65&gt;=5,"MEDIUM",L65&lt;5,"LOW")</f>
        <v>LOW</v>
      </c>
      <c r="T65" s="1" t="str">
        <f t="shared" si="4"/>
        <v>Low</v>
      </c>
    </row>
    <row r="66" spans="1:20" x14ac:dyDescent="0.35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  <c r="O66" s="1">
        <f t="shared" si="0"/>
        <v>8283.9600000000009</v>
      </c>
      <c r="P66" s="1">
        <f t="shared" si="1"/>
        <v>0</v>
      </c>
      <c r="Q66" s="1">
        <f t="shared" si="2"/>
        <v>8283.9600000000009</v>
      </c>
      <c r="R66" s="1" t="str">
        <f t="shared" si="3"/>
        <v>LOW</v>
      </c>
      <c r="S66" s="1" t="str" cm="1">
        <f t="array" ref="S66">_xlfn.IFS(L66&gt;=8,"HIGH",L66&gt;=5,"MEDIUM",L66&lt;5,"LOW")</f>
        <v>MEDIUM</v>
      </c>
      <c r="T66" s="1" t="str">
        <f t="shared" si="4"/>
        <v>Low</v>
      </c>
    </row>
    <row r="67" spans="1:20" x14ac:dyDescent="0.35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  <c r="O67" s="1">
        <f t="shared" ref="O67:O130" si="8">L67*M67</f>
        <v>11021.880000000001</v>
      </c>
      <c r="P67" s="1">
        <f t="shared" ref="P67:P130" si="9">O67*N67/100</f>
        <v>551.09400000000005</v>
      </c>
      <c r="Q67" s="1">
        <f t="shared" ref="Q67:Q130" si="10">O67-P67</f>
        <v>10470.786</v>
      </c>
      <c r="R67" s="1" t="str">
        <f t="shared" ref="R67:R130" si="11">IF(Q67&gt;=10000, "HIGH", "LOW")</f>
        <v>HIGH</v>
      </c>
      <c r="S67" s="1" t="str" cm="1">
        <f t="array" ref="S67">_xlfn.IFS(L67&gt;=8,"HIGH",L67&gt;=5,"MEDIUM",L67&lt;5,"LOW")</f>
        <v>MEDIUM</v>
      </c>
      <c r="T67" s="1" t="str">
        <f t="shared" ref="T67:T130" si="12">IF(P67&gt;=3000,"High",IF(P67&gt;=1500,"Medium","Low"))</f>
        <v>Low</v>
      </c>
    </row>
    <row r="68" spans="1:20" x14ac:dyDescent="0.35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  <c r="O68" s="1">
        <f t="shared" si="8"/>
        <v>14448.6</v>
      </c>
      <c r="P68" s="1">
        <f t="shared" si="9"/>
        <v>2889.72</v>
      </c>
      <c r="Q68" s="1">
        <f t="shared" si="10"/>
        <v>11558.880000000001</v>
      </c>
      <c r="R68" s="1" t="str">
        <f t="shared" si="11"/>
        <v>HIGH</v>
      </c>
      <c r="S68" s="1" t="str" cm="1">
        <f t="array" ref="S68">_xlfn.IFS(L68&gt;=8,"HIGH",L68&gt;=5,"MEDIUM",L68&lt;5,"LOW")</f>
        <v>LOW</v>
      </c>
      <c r="T68" s="1" t="str">
        <f t="shared" si="12"/>
        <v>Medium</v>
      </c>
    </row>
    <row r="69" spans="1:20" x14ac:dyDescent="0.35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  <c r="O69" s="1">
        <f t="shared" si="8"/>
        <v>11564.130000000001</v>
      </c>
      <c r="P69" s="1">
        <f t="shared" si="9"/>
        <v>578.20650000000012</v>
      </c>
      <c r="Q69" s="1">
        <f t="shared" si="10"/>
        <v>10985.923500000001</v>
      </c>
      <c r="R69" s="1" t="str">
        <f t="shared" si="11"/>
        <v>HIGH</v>
      </c>
      <c r="S69" s="1" t="str" cm="1">
        <f t="array" ref="S69">_xlfn.IFS(L69&gt;=8,"HIGH",L69&gt;=5,"MEDIUM",L69&lt;5,"LOW")</f>
        <v>LOW</v>
      </c>
      <c r="T69" s="1" t="str">
        <f t="shared" si="12"/>
        <v>Low</v>
      </c>
    </row>
    <row r="70" spans="1:20" x14ac:dyDescent="0.35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  <c r="O70" s="1">
        <f t="shared" si="8"/>
        <v>5579.5199999999995</v>
      </c>
      <c r="P70" s="1">
        <f t="shared" si="9"/>
        <v>836.92799999999988</v>
      </c>
      <c r="Q70" s="1">
        <f t="shared" si="10"/>
        <v>4742.5919999999996</v>
      </c>
      <c r="R70" s="1" t="str">
        <f t="shared" si="11"/>
        <v>LOW</v>
      </c>
      <c r="S70" s="1" t="str" cm="1">
        <f t="array" ref="S70">_xlfn.IFS(L70&gt;=8,"HIGH",L70&gt;=5,"MEDIUM",L70&lt;5,"LOW")</f>
        <v>LOW</v>
      </c>
      <c r="T70" s="1" t="str">
        <f t="shared" si="12"/>
        <v>Low</v>
      </c>
    </row>
    <row r="71" spans="1:20" x14ac:dyDescent="0.35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67</v>
      </c>
      <c r="K71" s="1" t="s">
        <v>20</v>
      </c>
      <c r="L71" s="1">
        <v>1</v>
      </c>
      <c r="M71" s="1">
        <v>3037.61</v>
      </c>
      <c r="N71" s="1">
        <v>5</v>
      </c>
      <c r="O71" s="1">
        <f t="shared" si="8"/>
        <v>3037.61</v>
      </c>
      <c r="P71" s="1">
        <f t="shared" si="9"/>
        <v>151.88050000000001</v>
      </c>
      <c r="Q71" s="1">
        <f t="shared" si="10"/>
        <v>2885.7294999999999</v>
      </c>
      <c r="R71" s="1" t="str">
        <f t="shared" si="11"/>
        <v>LOW</v>
      </c>
      <c r="S71" s="1" t="str" cm="1">
        <f t="array" ref="S71">_xlfn.IFS(L71&gt;=8,"HIGH",L71&gt;=5,"MEDIUM",L71&lt;5,"LOW")</f>
        <v>LOW</v>
      </c>
      <c r="T71" s="1" t="str">
        <f t="shared" si="12"/>
        <v>Low</v>
      </c>
    </row>
    <row r="72" spans="1:20" x14ac:dyDescent="0.35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  <c r="O72" s="1">
        <f t="shared" si="8"/>
        <v>6590.67</v>
      </c>
      <c r="P72" s="1">
        <f t="shared" si="9"/>
        <v>0</v>
      </c>
      <c r="Q72" s="1">
        <f t="shared" si="10"/>
        <v>6590.67</v>
      </c>
      <c r="R72" s="1" t="str">
        <f t="shared" si="11"/>
        <v>LOW</v>
      </c>
      <c r="S72" s="1" t="str" cm="1">
        <f t="array" ref="S72">_xlfn.IFS(L72&gt;=8,"HIGH",L72&gt;=5,"MEDIUM",L72&lt;5,"LOW")</f>
        <v>LOW</v>
      </c>
      <c r="T72" s="1" t="str">
        <f t="shared" si="12"/>
        <v>Low</v>
      </c>
    </row>
    <row r="73" spans="1:20" x14ac:dyDescent="0.35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  <c r="O73" s="1">
        <f t="shared" si="8"/>
        <v>8881.84</v>
      </c>
      <c r="P73" s="1">
        <f t="shared" si="9"/>
        <v>0</v>
      </c>
      <c r="Q73" s="1">
        <f t="shared" si="10"/>
        <v>8881.84</v>
      </c>
      <c r="R73" s="1" t="str">
        <f t="shared" si="11"/>
        <v>LOW</v>
      </c>
      <c r="S73" s="1" t="str" cm="1">
        <f t="array" ref="S73">_xlfn.IFS(L73&gt;=8,"HIGH",L73&gt;=5,"MEDIUM",L73&lt;5,"LOW")</f>
        <v>LOW</v>
      </c>
      <c r="T73" s="1" t="str">
        <f t="shared" si="12"/>
        <v>Low</v>
      </c>
    </row>
    <row r="74" spans="1:20" x14ac:dyDescent="0.35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  <c r="O74" s="1">
        <f t="shared" si="8"/>
        <v>6103.4000000000005</v>
      </c>
      <c r="P74" s="1">
        <f t="shared" si="9"/>
        <v>1220.68</v>
      </c>
      <c r="Q74" s="1">
        <f t="shared" si="10"/>
        <v>4882.72</v>
      </c>
      <c r="R74" s="1" t="str">
        <f t="shared" si="11"/>
        <v>LOW</v>
      </c>
      <c r="S74" s="1" t="str" cm="1">
        <f t="array" ref="S74">_xlfn.IFS(L74&gt;=8,"HIGH",L74&gt;=5,"MEDIUM",L74&lt;5,"LOW")</f>
        <v>MEDIUM</v>
      </c>
      <c r="T74" s="1" t="str">
        <f t="shared" si="12"/>
        <v>Low</v>
      </c>
    </row>
    <row r="75" spans="1:20" x14ac:dyDescent="0.35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  <c r="O75" s="1">
        <f t="shared" si="8"/>
        <v>2955.84</v>
      </c>
      <c r="P75" s="1">
        <f t="shared" si="9"/>
        <v>295.584</v>
      </c>
      <c r="Q75" s="1">
        <f t="shared" si="10"/>
        <v>2660.2560000000003</v>
      </c>
      <c r="R75" s="1" t="str">
        <f t="shared" si="11"/>
        <v>LOW</v>
      </c>
      <c r="S75" s="1" t="str" cm="1">
        <f t="array" ref="S75">_xlfn.IFS(L75&gt;=8,"HIGH",L75&gt;=5,"MEDIUM",L75&lt;5,"LOW")</f>
        <v>LOW</v>
      </c>
      <c r="T75" s="1" t="str">
        <f t="shared" si="12"/>
        <v>Low</v>
      </c>
    </row>
    <row r="76" spans="1:20" x14ac:dyDescent="0.35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  <c r="O76" s="1">
        <f t="shared" si="8"/>
        <v>11459.300000000001</v>
      </c>
      <c r="P76" s="1">
        <f t="shared" si="9"/>
        <v>1718.8950000000002</v>
      </c>
      <c r="Q76" s="1">
        <f t="shared" si="10"/>
        <v>9740.4050000000007</v>
      </c>
      <c r="R76" s="1" t="str">
        <f t="shared" si="11"/>
        <v>LOW</v>
      </c>
      <c r="S76" s="1" t="str" cm="1">
        <f t="array" ref="S76">_xlfn.IFS(L76&gt;=8,"HIGH",L76&gt;=5,"MEDIUM",L76&lt;5,"LOW")</f>
        <v>MEDIUM</v>
      </c>
      <c r="T76" s="1" t="str">
        <f t="shared" si="12"/>
        <v>Medium</v>
      </c>
    </row>
    <row r="77" spans="1:20" x14ac:dyDescent="0.35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  <c r="O77" s="1">
        <f t="shared" si="8"/>
        <v>786.75</v>
      </c>
      <c r="P77" s="1">
        <f t="shared" si="9"/>
        <v>78.674999999999997</v>
      </c>
      <c r="Q77" s="1">
        <f t="shared" si="10"/>
        <v>708.07500000000005</v>
      </c>
      <c r="R77" s="1" t="str">
        <f t="shared" si="11"/>
        <v>LOW</v>
      </c>
      <c r="S77" s="1" t="str" cm="1">
        <f t="array" ref="S77">_xlfn.IFS(L77&gt;=8,"HIGH",L77&gt;=5,"MEDIUM",L77&lt;5,"LOW")</f>
        <v>LOW</v>
      </c>
      <c r="T77" s="1" t="str">
        <f t="shared" si="12"/>
        <v>Low</v>
      </c>
    </row>
    <row r="78" spans="1:20" x14ac:dyDescent="0.35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  <c r="O78" s="1">
        <f t="shared" si="8"/>
        <v>21857.46</v>
      </c>
      <c r="P78" s="1">
        <f t="shared" si="9"/>
        <v>0</v>
      </c>
      <c r="Q78" s="1">
        <f t="shared" si="10"/>
        <v>21857.46</v>
      </c>
      <c r="R78" s="1" t="str">
        <f t="shared" si="11"/>
        <v>HIGH</v>
      </c>
      <c r="S78" s="1" t="str" cm="1">
        <f t="array" ref="S78">_xlfn.IFS(L78&gt;=8,"HIGH",L78&gt;=5,"MEDIUM",L78&lt;5,"LOW")</f>
        <v>MEDIUM</v>
      </c>
      <c r="T78" s="1" t="str">
        <f t="shared" si="12"/>
        <v>Low</v>
      </c>
    </row>
    <row r="79" spans="1:20" x14ac:dyDescent="0.35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  <c r="O79" s="1">
        <f t="shared" si="8"/>
        <v>4510.1400000000003</v>
      </c>
      <c r="P79" s="1">
        <f t="shared" si="9"/>
        <v>0</v>
      </c>
      <c r="Q79" s="1">
        <f t="shared" si="10"/>
        <v>4510.1400000000003</v>
      </c>
      <c r="R79" s="1" t="str">
        <f t="shared" si="11"/>
        <v>LOW</v>
      </c>
      <c r="S79" s="1" t="str" cm="1">
        <f t="array" ref="S79">_xlfn.IFS(L79&gt;=8,"HIGH",L79&gt;=5,"MEDIUM",L79&lt;5,"LOW")</f>
        <v>MEDIUM</v>
      </c>
      <c r="T79" s="1" t="str">
        <f t="shared" si="12"/>
        <v>Low</v>
      </c>
    </row>
    <row r="80" spans="1:20" x14ac:dyDescent="0.35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  <c r="O80" s="1">
        <f t="shared" si="8"/>
        <v>7978.72</v>
      </c>
      <c r="P80" s="1">
        <f t="shared" si="9"/>
        <v>398.93599999999998</v>
      </c>
      <c r="Q80" s="1">
        <f t="shared" si="10"/>
        <v>7579.7840000000006</v>
      </c>
      <c r="R80" s="1" t="str">
        <f t="shared" si="11"/>
        <v>LOW</v>
      </c>
      <c r="S80" s="1" t="str" cm="1">
        <f t="array" ref="S80">_xlfn.IFS(L80&gt;=8,"HIGH",L80&gt;=5,"MEDIUM",L80&lt;5,"LOW")</f>
        <v>HIGH</v>
      </c>
      <c r="T80" s="1" t="str">
        <f t="shared" si="12"/>
        <v>Low</v>
      </c>
    </row>
    <row r="81" spans="1:20" x14ac:dyDescent="0.35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  <c r="O81" s="1">
        <f t="shared" si="8"/>
        <v>4290.72</v>
      </c>
      <c r="P81" s="1">
        <f t="shared" si="9"/>
        <v>858.14400000000012</v>
      </c>
      <c r="Q81" s="1">
        <f t="shared" si="10"/>
        <v>3432.576</v>
      </c>
      <c r="R81" s="1" t="str">
        <f t="shared" si="11"/>
        <v>LOW</v>
      </c>
      <c r="S81" s="1" t="str" cm="1">
        <f t="array" ref="S81">_xlfn.IFS(L81&gt;=8,"HIGH",L81&gt;=5,"MEDIUM",L81&lt;5,"LOW")</f>
        <v>LOW</v>
      </c>
      <c r="T81" s="1" t="str">
        <f t="shared" si="12"/>
        <v>Low</v>
      </c>
    </row>
    <row r="82" spans="1:20" x14ac:dyDescent="0.35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  <c r="O82" s="1">
        <f t="shared" si="8"/>
        <v>2883.94</v>
      </c>
      <c r="P82" s="1">
        <f t="shared" si="9"/>
        <v>576.78800000000001</v>
      </c>
      <c r="Q82" s="1">
        <f t="shared" si="10"/>
        <v>2307.152</v>
      </c>
      <c r="R82" s="1" t="str">
        <f t="shared" si="11"/>
        <v>LOW</v>
      </c>
      <c r="S82" s="1" t="str" cm="1">
        <f t="array" ref="S82">_xlfn.IFS(L82&gt;=8,"HIGH",L82&gt;=5,"MEDIUM",L82&lt;5,"LOW")</f>
        <v>LOW</v>
      </c>
      <c r="T82" s="1" t="str">
        <f t="shared" si="12"/>
        <v>Low</v>
      </c>
    </row>
    <row r="83" spans="1:20" x14ac:dyDescent="0.35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  <c r="O83" s="1">
        <f t="shared" si="8"/>
        <v>2074.2399999999998</v>
      </c>
      <c r="P83" s="1">
        <f t="shared" si="9"/>
        <v>414.84799999999996</v>
      </c>
      <c r="Q83" s="1">
        <f t="shared" si="10"/>
        <v>1659.3919999999998</v>
      </c>
      <c r="R83" s="1" t="str">
        <f t="shared" si="11"/>
        <v>LOW</v>
      </c>
      <c r="S83" s="1" t="str" cm="1">
        <f t="array" ref="S83">_xlfn.IFS(L83&gt;=8,"HIGH",L83&gt;=5,"MEDIUM",L83&lt;5,"LOW")</f>
        <v>LOW</v>
      </c>
      <c r="T83" s="1" t="str">
        <f t="shared" si="12"/>
        <v>Low</v>
      </c>
    </row>
    <row r="84" spans="1:20" x14ac:dyDescent="0.35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  <c r="O84" s="1">
        <f t="shared" si="8"/>
        <v>9611.84</v>
      </c>
      <c r="P84" s="1">
        <f t="shared" si="9"/>
        <v>480.59199999999998</v>
      </c>
      <c r="Q84" s="1">
        <f t="shared" si="10"/>
        <v>9131.2479999999996</v>
      </c>
      <c r="R84" s="1" t="str">
        <f t="shared" si="11"/>
        <v>LOW</v>
      </c>
      <c r="S84" s="1" t="str" cm="1">
        <f t="array" ref="S84">_xlfn.IFS(L84&gt;=8,"HIGH",L84&gt;=5,"MEDIUM",L84&lt;5,"LOW")</f>
        <v>MEDIUM</v>
      </c>
      <c r="T84" s="1" t="str">
        <f t="shared" si="12"/>
        <v>Low</v>
      </c>
    </row>
    <row r="85" spans="1:20" x14ac:dyDescent="0.35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  <c r="O85" s="1">
        <f t="shared" si="8"/>
        <v>11638.2</v>
      </c>
      <c r="P85" s="1">
        <f t="shared" si="9"/>
        <v>2327.64</v>
      </c>
      <c r="Q85" s="1">
        <f t="shared" si="10"/>
        <v>9310.5600000000013</v>
      </c>
      <c r="R85" s="1" t="str">
        <f t="shared" si="11"/>
        <v>LOW</v>
      </c>
      <c r="S85" s="1" t="str" cm="1">
        <f t="array" ref="S85">_xlfn.IFS(L85&gt;=8,"HIGH",L85&gt;=5,"MEDIUM",L85&lt;5,"LOW")</f>
        <v>LOW</v>
      </c>
      <c r="T85" s="1" t="str">
        <f t="shared" si="12"/>
        <v>Medium</v>
      </c>
    </row>
    <row r="86" spans="1:20" x14ac:dyDescent="0.35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  <c r="O86" s="1">
        <f t="shared" si="8"/>
        <v>16852.599999999999</v>
      </c>
      <c r="P86" s="1">
        <f t="shared" si="9"/>
        <v>1685.26</v>
      </c>
      <c r="Q86" s="1">
        <f t="shared" si="10"/>
        <v>15167.339999999998</v>
      </c>
      <c r="R86" s="1" t="str">
        <f t="shared" si="11"/>
        <v>HIGH</v>
      </c>
      <c r="S86" s="1" t="str" cm="1">
        <f t="array" ref="S86">_xlfn.IFS(L86&gt;=8,"HIGH",L86&gt;=5,"MEDIUM",L86&lt;5,"LOW")</f>
        <v>MEDIUM</v>
      </c>
      <c r="T86" s="1" t="str">
        <f t="shared" si="12"/>
        <v>Medium</v>
      </c>
    </row>
    <row r="87" spans="1:20" x14ac:dyDescent="0.35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  <c r="O87" s="1">
        <f t="shared" si="8"/>
        <v>1029.99</v>
      </c>
      <c r="P87" s="1">
        <f t="shared" si="9"/>
        <v>51.499499999999998</v>
      </c>
      <c r="Q87" s="1">
        <f t="shared" si="10"/>
        <v>978.4905</v>
      </c>
      <c r="R87" s="1" t="str">
        <f t="shared" si="11"/>
        <v>LOW</v>
      </c>
      <c r="S87" s="1" t="str" cm="1">
        <f t="array" ref="S87">_xlfn.IFS(L87&gt;=8,"HIGH",L87&gt;=5,"MEDIUM",L87&lt;5,"LOW")</f>
        <v>LOW</v>
      </c>
      <c r="T87" s="1" t="str">
        <f t="shared" si="12"/>
        <v>Low</v>
      </c>
    </row>
    <row r="88" spans="1:20" x14ac:dyDescent="0.35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  <c r="O88" s="1">
        <f t="shared" si="8"/>
        <v>17448.84</v>
      </c>
      <c r="P88" s="1">
        <f t="shared" si="9"/>
        <v>3489.768</v>
      </c>
      <c r="Q88" s="1">
        <f t="shared" si="10"/>
        <v>13959.072</v>
      </c>
      <c r="R88" s="1" t="str">
        <f t="shared" si="11"/>
        <v>HIGH</v>
      </c>
      <c r="S88" s="1" t="str" cm="1">
        <f t="array" ref="S88">_xlfn.IFS(L88&gt;=8,"HIGH",L88&gt;=5,"MEDIUM",L88&lt;5,"LOW")</f>
        <v>HIGH</v>
      </c>
      <c r="T88" s="1" t="str">
        <f t="shared" si="12"/>
        <v>High</v>
      </c>
    </row>
    <row r="89" spans="1:20" x14ac:dyDescent="0.35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  <c r="O89" s="1">
        <f t="shared" si="8"/>
        <v>6446.08</v>
      </c>
      <c r="P89" s="1">
        <f t="shared" si="9"/>
        <v>644.60800000000006</v>
      </c>
      <c r="Q89" s="1">
        <f t="shared" si="10"/>
        <v>5801.4719999999998</v>
      </c>
      <c r="R89" s="1" t="str">
        <f t="shared" si="11"/>
        <v>LOW</v>
      </c>
      <c r="S89" s="1" t="str" cm="1">
        <f t="array" ref="S89">_xlfn.IFS(L89&gt;=8,"HIGH",L89&gt;=5,"MEDIUM",L89&lt;5,"LOW")</f>
        <v>LOW</v>
      </c>
      <c r="T89" s="1" t="str">
        <f t="shared" si="12"/>
        <v>Low</v>
      </c>
    </row>
    <row r="90" spans="1:20" x14ac:dyDescent="0.35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  <c r="O90" s="1">
        <f t="shared" si="8"/>
        <v>4106.58</v>
      </c>
      <c r="P90" s="1">
        <f t="shared" si="9"/>
        <v>410.65800000000002</v>
      </c>
      <c r="Q90" s="1">
        <f t="shared" si="10"/>
        <v>3695.922</v>
      </c>
      <c r="R90" s="1" t="str">
        <f t="shared" si="11"/>
        <v>LOW</v>
      </c>
      <c r="S90" s="1" t="str" cm="1">
        <f t="array" ref="S90">_xlfn.IFS(L90&gt;=8,"HIGH",L90&gt;=5,"MEDIUM",L90&lt;5,"LOW")</f>
        <v>LOW</v>
      </c>
      <c r="T90" s="1" t="str">
        <f t="shared" si="12"/>
        <v>Low</v>
      </c>
    </row>
    <row r="91" spans="1:20" x14ac:dyDescent="0.35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  <c r="O91" s="1">
        <f t="shared" si="8"/>
        <v>2499.88</v>
      </c>
      <c r="P91" s="1">
        <f t="shared" si="9"/>
        <v>249.98800000000003</v>
      </c>
      <c r="Q91" s="1">
        <f t="shared" si="10"/>
        <v>2249.8920000000003</v>
      </c>
      <c r="R91" s="1" t="str">
        <f t="shared" si="11"/>
        <v>LOW</v>
      </c>
      <c r="S91" s="1" t="str" cm="1">
        <f t="array" ref="S91">_xlfn.IFS(L91&gt;=8,"HIGH",L91&gt;=5,"MEDIUM",L91&lt;5,"LOW")</f>
        <v>LOW</v>
      </c>
      <c r="T91" s="1" t="str">
        <f t="shared" si="12"/>
        <v>Low</v>
      </c>
    </row>
    <row r="92" spans="1:20" x14ac:dyDescent="0.35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  <c r="O92" s="1">
        <f t="shared" si="8"/>
        <v>4516.1100000000006</v>
      </c>
      <c r="P92" s="1">
        <f t="shared" si="9"/>
        <v>225.80550000000002</v>
      </c>
      <c r="Q92" s="1">
        <f t="shared" si="10"/>
        <v>4290.3045000000002</v>
      </c>
      <c r="R92" s="1" t="str">
        <f t="shared" si="11"/>
        <v>LOW</v>
      </c>
      <c r="S92" s="1" t="str" cm="1">
        <f t="array" ref="S92">_xlfn.IFS(L92&gt;=8,"HIGH",L92&gt;=5,"MEDIUM",L92&lt;5,"LOW")</f>
        <v>HIGH</v>
      </c>
      <c r="T92" s="1" t="str">
        <f t="shared" si="12"/>
        <v>Low</v>
      </c>
    </row>
    <row r="93" spans="1:20" x14ac:dyDescent="0.35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  <c r="O93" s="1">
        <f t="shared" si="8"/>
        <v>5448.32</v>
      </c>
      <c r="P93" s="1">
        <f t="shared" si="9"/>
        <v>817.24799999999993</v>
      </c>
      <c r="Q93" s="1">
        <f t="shared" si="10"/>
        <v>4631.0720000000001</v>
      </c>
      <c r="R93" s="1" t="str">
        <f t="shared" si="11"/>
        <v>LOW</v>
      </c>
      <c r="S93" s="1" t="str" cm="1">
        <f t="array" ref="S93">_xlfn.IFS(L93&gt;=8,"HIGH",L93&gt;=5,"MEDIUM",L93&lt;5,"LOW")</f>
        <v>LOW</v>
      </c>
      <c r="T93" s="1" t="str">
        <f t="shared" si="12"/>
        <v>Low</v>
      </c>
    </row>
    <row r="94" spans="1:20" x14ac:dyDescent="0.35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  <c r="O94" s="1">
        <f t="shared" si="8"/>
        <v>947.25</v>
      </c>
      <c r="P94" s="1">
        <f t="shared" si="9"/>
        <v>189.45</v>
      </c>
      <c r="Q94" s="1">
        <f t="shared" si="10"/>
        <v>757.8</v>
      </c>
      <c r="R94" s="1" t="str">
        <f t="shared" si="11"/>
        <v>LOW</v>
      </c>
      <c r="S94" s="1" t="str" cm="1">
        <f t="array" ref="S94">_xlfn.IFS(L94&gt;=8,"HIGH",L94&gt;=5,"MEDIUM",L94&lt;5,"LOW")</f>
        <v>LOW</v>
      </c>
      <c r="T94" s="1" t="str">
        <f t="shared" si="12"/>
        <v>Low</v>
      </c>
    </row>
    <row r="95" spans="1:20" x14ac:dyDescent="0.35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  <c r="O95" s="1">
        <f t="shared" si="8"/>
        <v>22096.97</v>
      </c>
      <c r="P95" s="1">
        <f t="shared" si="9"/>
        <v>2209.6970000000001</v>
      </c>
      <c r="Q95" s="1">
        <f t="shared" si="10"/>
        <v>19887.273000000001</v>
      </c>
      <c r="R95" s="1" t="str">
        <f t="shared" si="11"/>
        <v>HIGH</v>
      </c>
      <c r="S95" s="1" t="str" cm="1">
        <f t="array" ref="S95">_xlfn.IFS(L95&gt;=8,"HIGH",L95&gt;=5,"MEDIUM",L95&lt;5,"LOW")</f>
        <v>MEDIUM</v>
      </c>
      <c r="T95" s="1" t="str">
        <f t="shared" si="12"/>
        <v>Medium</v>
      </c>
    </row>
    <row r="96" spans="1:20" x14ac:dyDescent="0.35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  <c r="O96" s="1">
        <f t="shared" si="8"/>
        <v>13465.44</v>
      </c>
      <c r="P96" s="1">
        <f t="shared" si="9"/>
        <v>2019.816</v>
      </c>
      <c r="Q96" s="1">
        <f t="shared" si="10"/>
        <v>11445.624</v>
      </c>
      <c r="R96" s="1" t="str">
        <f t="shared" si="11"/>
        <v>HIGH</v>
      </c>
      <c r="S96" s="1" t="str" cm="1">
        <f t="array" ref="S96">_xlfn.IFS(L96&gt;=8,"HIGH",L96&gt;=5,"MEDIUM",L96&lt;5,"LOW")</f>
        <v>HIGH</v>
      </c>
      <c r="T96" s="1" t="str">
        <f t="shared" si="12"/>
        <v>Medium</v>
      </c>
    </row>
    <row r="97" spans="1:20" x14ac:dyDescent="0.35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  <c r="O97" s="1">
        <f t="shared" si="8"/>
        <v>3718.06</v>
      </c>
      <c r="P97" s="1">
        <f t="shared" si="9"/>
        <v>743.61199999999997</v>
      </c>
      <c r="Q97" s="1">
        <f t="shared" si="10"/>
        <v>2974.4479999999999</v>
      </c>
      <c r="R97" s="1" t="str">
        <f t="shared" si="11"/>
        <v>LOW</v>
      </c>
      <c r="S97" s="1" t="str" cm="1">
        <f t="array" ref="S97">_xlfn.IFS(L97&gt;=8,"HIGH",L97&gt;=5,"MEDIUM",L97&lt;5,"LOW")</f>
        <v>LOW</v>
      </c>
      <c r="T97" s="1" t="str">
        <f t="shared" si="12"/>
        <v>Low</v>
      </c>
    </row>
    <row r="98" spans="1:20" x14ac:dyDescent="0.35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  <c r="O98" s="1">
        <f t="shared" si="8"/>
        <v>25132.38</v>
      </c>
      <c r="P98" s="1">
        <f t="shared" si="9"/>
        <v>5026.4760000000006</v>
      </c>
      <c r="Q98" s="1">
        <f t="shared" si="10"/>
        <v>20105.904000000002</v>
      </c>
      <c r="R98" s="1" t="str">
        <f t="shared" si="11"/>
        <v>HIGH</v>
      </c>
      <c r="S98" s="1" t="str" cm="1">
        <f t="array" ref="S98">_xlfn.IFS(L98&gt;=8,"HIGH",L98&gt;=5,"MEDIUM",L98&lt;5,"LOW")</f>
        <v>MEDIUM</v>
      </c>
      <c r="T98" s="1" t="str">
        <f t="shared" si="12"/>
        <v>High</v>
      </c>
    </row>
    <row r="99" spans="1:20" x14ac:dyDescent="0.35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  <c r="O99" s="1">
        <f t="shared" si="8"/>
        <v>905.15</v>
      </c>
      <c r="P99" s="1">
        <f t="shared" si="9"/>
        <v>90.515000000000001</v>
      </c>
      <c r="Q99" s="1">
        <f t="shared" si="10"/>
        <v>814.63499999999999</v>
      </c>
      <c r="R99" s="1" t="str">
        <f t="shared" si="11"/>
        <v>LOW</v>
      </c>
      <c r="S99" s="1" t="str" cm="1">
        <f t="array" ref="S99">_xlfn.IFS(L99&gt;=8,"HIGH",L99&gt;=5,"MEDIUM",L99&lt;5,"LOW")</f>
        <v>MEDIUM</v>
      </c>
      <c r="T99" s="1" t="str">
        <f t="shared" si="12"/>
        <v>Low</v>
      </c>
    </row>
    <row r="100" spans="1:20" x14ac:dyDescent="0.35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  <c r="O100" s="1">
        <f t="shared" si="8"/>
        <v>11343.66</v>
      </c>
      <c r="P100" s="1">
        <f t="shared" si="9"/>
        <v>567.18299999999999</v>
      </c>
      <c r="Q100" s="1">
        <f t="shared" si="10"/>
        <v>10776.476999999999</v>
      </c>
      <c r="R100" s="1" t="str">
        <f t="shared" si="11"/>
        <v>HIGH</v>
      </c>
      <c r="S100" s="1" t="str" cm="1">
        <f t="array" ref="S100">_xlfn.IFS(L100&gt;=8,"HIGH",L100&gt;=5,"MEDIUM",L100&lt;5,"LOW")</f>
        <v>LOW</v>
      </c>
      <c r="T100" s="1" t="str">
        <f t="shared" si="12"/>
        <v>Low</v>
      </c>
    </row>
    <row r="101" spans="1:20" x14ac:dyDescent="0.35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  <c r="O101" s="1">
        <f t="shared" si="8"/>
        <v>5315.05</v>
      </c>
      <c r="P101" s="1">
        <f t="shared" si="9"/>
        <v>797.25750000000005</v>
      </c>
      <c r="Q101" s="1">
        <f t="shared" si="10"/>
        <v>4517.7925000000005</v>
      </c>
      <c r="R101" s="1" t="str">
        <f t="shared" si="11"/>
        <v>LOW</v>
      </c>
      <c r="S101" s="1" t="str" cm="1">
        <f t="array" ref="S101">_xlfn.IFS(L101&gt;=8,"HIGH",L101&gt;=5,"MEDIUM",L101&lt;5,"LOW")</f>
        <v>MEDIUM</v>
      </c>
      <c r="T101" s="1" t="str">
        <f t="shared" si="12"/>
        <v>Low</v>
      </c>
    </row>
    <row r="102" spans="1:20" x14ac:dyDescent="0.35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  <c r="O102" s="1">
        <f t="shared" si="8"/>
        <v>1128.6199999999999</v>
      </c>
      <c r="P102" s="1">
        <f t="shared" si="9"/>
        <v>169.29300000000001</v>
      </c>
      <c r="Q102" s="1">
        <f t="shared" si="10"/>
        <v>959.32699999999988</v>
      </c>
      <c r="R102" s="1" t="str">
        <f t="shared" si="11"/>
        <v>LOW</v>
      </c>
      <c r="S102" s="1" t="str" cm="1">
        <f t="array" ref="S102">_xlfn.IFS(L102&gt;=8,"HIGH",L102&gt;=5,"MEDIUM",L102&lt;5,"LOW")</f>
        <v>LOW</v>
      </c>
      <c r="T102" s="1" t="str">
        <f t="shared" si="12"/>
        <v>Low</v>
      </c>
    </row>
    <row r="103" spans="1:20" x14ac:dyDescent="0.35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  <c r="O103" s="1">
        <f t="shared" si="8"/>
        <v>12461.04</v>
      </c>
      <c r="P103" s="1">
        <f t="shared" si="9"/>
        <v>2492.2080000000001</v>
      </c>
      <c r="Q103" s="1">
        <f t="shared" si="10"/>
        <v>9968.8320000000003</v>
      </c>
      <c r="R103" s="1" t="str">
        <f t="shared" si="11"/>
        <v>LOW</v>
      </c>
      <c r="S103" s="1" t="str" cm="1">
        <f t="array" ref="S103">_xlfn.IFS(L103&gt;=8,"HIGH",L103&gt;=5,"MEDIUM",L103&lt;5,"LOW")</f>
        <v>MEDIUM</v>
      </c>
      <c r="T103" s="1" t="str">
        <f t="shared" si="12"/>
        <v>Medium</v>
      </c>
    </row>
    <row r="104" spans="1:20" x14ac:dyDescent="0.35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67</v>
      </c>
      <c r="K104" s="1" t="s">
        <v>32</v>
      </c>
      <c r="L104" s="1">
        <v>1</v>
      </c>
      <c r="M104" s="1">
        <v>1820.02</v>
      </c>
      <c r="N104" s="1">
        <v>10</v>
      </c>
      <c r="O104" s="1">
        <f t="shared" si="8"/>
        <v>1820.02</v>
      </c>
      <c r="P104" s="1">
        <f t="shared" si="9"/>
        <v>182.00200000000001</v>
      </c>
      <c r="Q104" s="1">
        <f t="shared" si="10"/>
        <v>1638.018</v>
      </c>
      <c r="R104" s="1" t="str">
        <f t="shared" si="11"/>
        <v>LOW</v>
      </c>
      <c r="S104" s="1" t="str" cm="1">
        <f t="array" ref="S104">_xlfn.IFS(L104&gt;=8,"HIGH",L104&gt;=5,"MEDIUM",L104&lt;5,"LOW")</f>
        <v>LOW</v>
      </c>
      <c r="T104" s="1" t="str">
        <f t="shared" si="12"/>
        <v>Low</v>
      </c>
    </row>
    <row r="105" spans="1:20" x14ac:dyDescent="0.35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  <c r="O105" s="1">
        <f t="shared" si="8"/>
        <v>4442.3599999999997</v>
      </c>
      <c r="P105" s="1">
        <f t="shared" si="9"/>
        <v>888.47199999999998</v>
      </c>
      <c r="Q105" s="1">
        <f t="shared" si="10"/>
        <v>3553.8879999999999</v>
      </c>
      <c r="R105" s="1" t="str">
        <f t="shared" si="11"/>
        <v>LOW</v>
      </c>
      <c r="S105" s="1" t="str" cm="1">
        <f t="array" ref="S105">_xlfn.IFS(L105&gt;=8,"HIGH",L105&gt;=5,"MEDIUM",L105&lt;5,"LOW")</f>
        <v>LOW</v>
      </c>
      <c r="T105" s="1" t="str">
        <f t="shared" si="12"/>
        <v>Low</v>
      </c>
    </row>
    <row r="106" spans="1:20" x14ac:dyDescent="0.35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  <c r="O106" s="1">
        <f t="shared" si="8"/>
        <v>13546.619999999999</v>
      </c>
      <c r="P106" s="1">
        <f t="shared" si="9"/>
        <v>2709.3239999999996</v>
      </c>
      <c r="Q106" s="1">
        <f t="shared" si="10"/>
        <v>10837.295999999998</v>
      </c>
      <c r="R106" s="1" t="str">
        <f t="shared" si="11"/>
        <v>HIGH</v>
      </c>
      <c r="S106" s="1" t="str" cm="1">
        <f t="array" ref="S106">_xlfn.IFS(L106&gt;=8,"HIGH",L106&gt;=5,"MEDIUM",L106&lt;5,"LOW")</f>
        <v>MEDIUM</v>
      </c>
      <c r="T106" s="1" t="str">
        <f t="shared" si="12"/>
        <v>Medium</v>
      </c>
    </row>
    <row r="107" spans="1:20" x14ac:dyDescent="0.35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68</v>
      </c>
      <c r="K107" s="1" t="s">
        <v>44</v>
      </c>
      <c r="L107" s="1">
        <v>9</v>
      </c>
      <c r="M107" s="1">
        <v>1206.3800000000001</v>
      </c>
      <c r="N107" s="1">
        <v>10</v>
      </c>
      <c r="O107" s="1">
        <f t="shared" si="8"/>
        <v>10857.420000000002</v>
      </c>
      <c r="P107" s="1">
        <f t="shared" si="9"/>
        <v>1085.7420000000002</v>
      </c>
      <c r="Q107" s="1">
        <f t="shared" si="10"/>
        <v>9771.6780000000017</v>
      </c>
      <c r="R107" s="1" t="str">
        <f t="shared" si="11"/>
        <v>LOW</v>
      </c>
      <c r="S107" s="1" t="str" cm="1">
        <f t="array" ref="S107">_xlfn.IFS(L107&gt;=8,"HIGH",L107&gt;=5,"MEDIUM",L107&lt;5,"LOW")</f>
        <v>HIGH</v>
      </c>
      <c r="T107" s="1" t="str">
        <f t="shared" si="12"/>
        <v>Low</v>
      </c>
    </row>
    <row r="108" spans="1:20" x14ac:dyDescent="0.35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  <c r="O108" s="1">
        <f t="shared" si="8"/>
        <v>7242.18</v>
      </c>
      <c r="P108" s="1">
        <f t="shared" si="9"/>
        <v>0</v>
      </c>
      <c r="Q108" s="1">
        <f t="shared" si="10"/>
        <v>7242.18</v>
      </c>
      <c r="R108" s="1" t="str">
        <f t="shared" si="11"/>
        <v>LOW</v>
      </c>
      <c r="S108" s="1" t="str" cm="1">
        <f t="array" ref="S108">_xlfn.IFS(L108&gt;=8,"HIGH",L108&gt;=5,"MEDIUM",L108&lt;5,"LOW")</f>
        <v>LOW</v>
      </c>
      <c r="T108" s="1" t="str">
        <f t="shared" si="12"/>
        <v>Low</v>
      </c>
    </row>
    <row r="109" spans="1:20" x14ac:dyDescent="0.35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  <c r="O109" s="1">
        <f t="shared" si="8"/>
        <v>6849.78</v>
      </c>
      <c r="P109" s="1">
        <f t="shared" si="9"/>
        <v>1027.4669999999999</v>
      </c>
      <c r="Q109" s="1">
        <f t="shared" si="10"/>
        <v>5822.3130000000001</v>
      </c>
      <c r="R109" s="1" t="str">
        <f t="shared" si="11"/>
        <v>LOW</v>
      </c>
      <c r="S109" s="1" t="str" cm="1">
        <f t="array" ref="S109">_xlfn.IFS(L109&gt;=8,"HIGH",L109&gt;=5,"MEDIUM",L109&lt;5,"LOW")</f>
        <v>MEDIUM</v>
      </c>
      <c r="T109" s="1" t="str">
        <f t="shared" si="12"/>
        <v>Low</v>
      </c>
    </row>
    <row r="110" spans="1:20" x14ac:dyDescent="0.35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  <c r="O110" s="1">
        <f t="shared" si="8"/>
        <v>21328.62</v>
      </c>
      <c r="P110" s="1">
        <f t="shared" si="9"/>
        <v>4265.7239999999993</v>
      </c>
      <c r="Q110" s="1">
        <f t="shared" si="10"/>
        <v>17062.896000000001</v>
      </c>
      <c r="R110" s="1" t="str">
        <f t="shared" si="11"/>
        <v>HIGH</v>
      </c>
      <c r="S110" s="1" t="str" cm="1">
        <f t="array" ref="S110">_xlfn.IFS(L110&gt;=8,"HIGH",L110&gt;=5,"MEDIUM",L110&lt;5,"LOW")</f>
        <v>MEDIUM</v>
      </c>
      <c r="T110" s="1" t="str">
        <f t="shared" si="12"/>
        <v>High</v>
      </c>
    </row>
    <row r="111" spans="1:20" x14ac:dyDescent="0.35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  <c r="O111" s="1">
        <f t="shared" si="8"/>
        <v>4607.42</v>
      </c>
      <c r="P111" s="1">
        <f t="shared" si="9"/>
        <v>921.48399999999992</v>
      </c>
      <c r="Q111" s="1">
        <f t="shared" si="10"/>
        <v>3685.9360000000001</v>
      </c>
      <c r="R111" s="1" t="str">
        <f t="shared" si="11"/>
        <v>LOW</v>
      </c>
      <c r="S111" s="1" t="str" cm="1">
        <f t="array" ref="S111">_xlfn.IFS(L111&gt;=8,"HIGH",L111&gt;=5,"MEDIUM",L111&lt;5,"LOW")</f>
        <v>LOW</v>
      </c>
      <c r="T111" s="1" t="str">
        <f t="shared" si="12"/>
        <v>Low</v>
      </c>
    </row>
    <row r="112" spans="1:20" x14ac:dyDescent="0.35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  <c r="O112" s="1">
        <f t="shared" si="8"/>
        <v>26717.439999999999</v>
      </c>
      <c r="P112" s="1">
        <f t="shared" si="9"/>
        <v>0</v>
      </c>
      <c r="Q112" s="1">
        <f t="shared" si="10"/>
        <v>26717.439999999999</v>
      </c>
      <c r="R112" s="1" t="str">
        <f t="shared" si="11"/>
        <v>HIGH</v>
      </c>
      <c r="S112" s="1" t="str" cm="1">
        <f t="array" ref="S112">_xlfn.IFS(L112&gt;=8,"HIGH",L112&gt;=5,"MEDIUM",L112&lt;5,"LOW")</f>
        <v>HIGH</v>
      </c>
      <c r="T112" s="1" t="str">
        <f t="shared" si="12"/>
        <v>Low</v>
      </c>
    </row>
    <row r="113" spans="1:20" x14ac:dyDescent="0.35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  <c r="O113" s="1">
        <f t="shared" si="8"/>
        <v>20261.22</v>
      </c>
      <c r="P113" s="1">
        <f t="shared" si="9"/>
        <v>1013.061</v>
      </c>
      <c r="Q113" s="1">
        <f t="shared" si="10"/>
        <v>19248.159</v>
      </c>
      <c r="R113" s="1" t="str">
        <f t="shared" si="11"/>
        <v>HIGH</v>
      </c>
      <c r="S113" s="1" t="str" cm="1">
        <f t="array" ref="S113">_xlfn.IFS(L113&gt;=8,"HIGH",L113&gt;=5,"MEDIUM",L113&lt;5,"LOW")</f>
        <v>MEDIUM</v>
      </c>
      <c r="T113" s="1" t="str">
        <f t="shared" si="12"/>
        <v>Low</v>
      </c>
    </row>
    <row r="114" spans="1:20" x14ac:dyDescent="0.35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  <c r="O114" s="1">
        <f t="shared" si="8"/>
        <v>14161.400000000001</v>
      </c>
      <c r="P114" s="1">
        <f t="shared" si="9"/>
        <v>0</v>
      </c>
      <c r="Q114" s="1">
        <f t="shared" si="10"/>
        <v>14161.400000000001</v>
      </c>
      <c r="R114" s="1" t="str">
        <f t="shared" si="11"/>
        <v>HIGH</v>
      </c>
      <c r="S114" s="1" t="str" cm="1">
        <f t="array" ref="S114">_xlfn.IFS(L114&gt;=8,"HIGH",L114&gt;=5,"MEDIUM",L114&lt;5,"LOW")</f>
        <v>MEDIUM</v>
      </c>
      <c r="T114" s="1" t="str">
        <f t="shared" si="12"/>
        <v>Low</v>
      </c>
    </row>
    <row r="115" spans="1:20" x14ac:dyDescent="0.35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  <c r="O115" s="1">
        <f t="shared" si="8"/>
        <v>6993.65</v>
      </c>
      <c r="P115" s="1">
        <f t="shared" si="9"/>
        <v>0</v>
      </c>
      <c r="Q115" s="1">
        <f t="shared" si="10"/>
        <v>6993.65</v>
      </c>
      <c r="R115" s="1" t="str">
        <f t="shared" si="11"/>
        <v>LOW</v>
      </c>
      <c r="S115" s="1" t="str" cm="1">
        <f t="array" ref="S115">_xlfn.IFS(L115&gt;=8,"HIGH",L115&gt;=5,"MEDIUM",L115&lt;5,"LOW")</f>
        <v>MEDIUM</v>
      </c>
      <c r="T115" s="1" t="str">
        <f t="shared" si="12"/>
        <v>Low</v>
      </c>
    </row>
    <row r="116" spans="1:20" x14ac:dyDescent="0.35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68</v>
      </c>
      <c r="K116" s="1" t="s">
        <v>46</v>
      </c>
      <c r="L116" s="1">
        <v>7</v>
      </c>
      <c r="M116" s="1">
        <v>1050.5</v>
      </c>
      <c r="N116" s="1">
        <v>20</v>
      </c>
      <c r="O116" s="1">
        <f t="shared" si="8"/>
        <v>7353.5</v>
      </c>
      <c r="P116" s="1">
        <f t="shared" si="9"/>
        <v>1470.7</v>
      </c>
      <c r="Q116" s="1">
        <f t="shared" si="10"/>
        <v>5882.8</v>
      </c>
      <c r="R116" s="1" t="str">
        <f t="shared" si="11"/>
        <v>LOW</v>
      </c>
      <c r="S116" s="1" t="str" cm="1">
        <f t="array" ref="S116">_xlfn.IFS(L116&gt;=8,"HIGH",L116&gt;=5,"MEDIUM",L116&lt;5,"LOW")</f>
        <v>MEDIUM</v>
      </c>
      <c r="T116" s="1" t="str">
        <f t="shared" si="12"/>
        <v>Low</v>
      </c>
    </row>
    <row r="117" spans="1:20" x14ac:dyDescent="0.35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  <c r="O117" s="1">
        <f t="shared" si="8"/>
        <v>8657.19</v>
      </c>
      <c r="P117" s="1">
        <f t="shared" si="9"/>
        <v>1298.5785000000001</v>
      </c>
      <c r="Q117" s="1">
        <f t="shared" si="10"/>
        <v>7358.6115000000009</v>
      </c>
      <c r="R117" s="1" t="str">
        <f t="shared" si="11"/>
        <v>LOW</v>
      </c>
      <c r="S117" s="1" t="str" cm="1">
        <f t="array" ref="S117">_xlfn.IFS(L117&gt;=8,"HIGH",L117&gt;=5,"MEDIUM",L117&lt;5,"LOW")</f>
        <v>HIGH</v>
      </c>
      <c r="T117" s="1" t="str">
        <f t="shared" si="12"/>
        <v>Low</v>
      </c>
    </row>
    <row r="118" spans="1:20" x14ac:dyDescent="0.35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  <c r="O118" s="1">
        <f t="shared" si="8"/>
        <v>31051.71</v>
      </c>
      <c r="P118" s="1">
        <f t="shared" si="9"/>
        <v>0</v>
      </c>
      <c r="Q118" s="1">
        <f t="shared" si="10"/>
        <v>31051.71</v>
      </c>
      <c r="R118" s="1" t="str">
        <f t="shared" si="11"/>
        <v>HIGH</v>
      </c>
      <c r="S118" s="1" t="str" cm="1">
        <f t="array" ref="S118">_xlfn.IFS(L118&gt;=8,"HIGH",L118&gt;=5,"MEDIUM",L118&lt;5,"LOW")</f>
        <v>HIGH</v>
      </c>
      <c r="T118" s="1" t="str">
        <f t="shared" si="12"/>
        <v>Low</v>
      </c>
    </row>
    <row r="119" spans="1:20" x14ac:dyDescent="0.35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  <c r="O119" s="1">
        <f t="shared" si="8"/>
        <v>29777.759999999998</v>
      </c>
      <c r="P119" s="1">
        <f t="shared" si="9"/>
        <v>1488.8879999999999</v>
      </c>
      <c r="Q119" s="1">
        <f t="shared" si="10"/>
        <v>28288.871999999999</v>
      </c>
      <c r="R119" s="1" t="str">
        <f t="shared" si="11"/>
        <v>HIGH</v>
      </c>
      <c r="S119" s="1" t="str" cm="1">
        <f t="array" ref="S119">_xlfn.IFS(L119&gt;=8,"HIGH",L119&gt;=5,"MEDIUM",L119&lt;5,"LOW")</f>
        <v>HIGH</v>
      </c>
      <c r="T119" s="1" t="str">
        <f t="shared" si="12"/>
        <v>Low</v>
      </c>
    </row>
    <row r="120" spans="1:20" x14ac:dyDescent="0.35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  <c r="O120" s="1">
        <f t="shared" si="8"/>
        <v>11077.26</v>
      </c>
      <c r="P120" s="1">
        <f t="shared" si="9"/>
        <v>1107.7260000000001</v>
      </c>
      <c r="Q120" s="1">
        <f t="shared" si="10"/>
        <v>9969.5339999999997</v>
      </c>
      <c r="R120" s="1" t="str">
        <f t="shared" si="11"/>
        <v>LOW</v>
      </c>
      <c r="S120" s="1" t="str" cm="1">
        <f t="array" ref="S120">_xlfn.IFS(L120&gt;=8,"HIGH",L120&gt;=5,"MEDIUM",L120&lt;5,"LOW")</f>
        <v>MEDIUM</v>
      </c>
      <c r="T120" s="1" t="str">
        <f t="shared" si="12"/>
        <v>Low</v>
      </c>
    </row>
    <row r="121" spans="1:20" x14ac:dyDescent="0.35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  <c r="O121" s="1">
        <f t="shared" si="8"/>
        <v>3958.56</v>
      </c>
      <c r="P121" s="1">
        <f t="shared" si="9"/>
        <v>0</v>
      </c>
      <c r="Q121" s="1">
        <f t="shared" si="10"/>
        <v>3958.56</v>
      </c>
      <c r="R121" s="1" t="str">
        <f t="shared" si="11"/>
        <v>LOW</v>
      </c>
      <c r="S121" s="1" t="str" cm="1">
        <f t="array" ref="S121">_xlfn.IFS(L121&gt;=8,"HIGH",L121&gt;=5,"MEDIUM",L121&lt;5,"LOW")</f>
        <v>MEDIUM</v>
      </c>
      <c r="T121" s="1" t="str">
        <f t="shared" si="12"/>
        <v>Low</v>
      </c>
    </row>
    <row r="122" spans="1:20" x14ac:dyDescent="0.35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  <c r="O122" s="1">
        <f t="shared" si="8"/>
        <v>4865.01</v>
      </c>
      <c r="P122" s="1">
        <f t="shared" si="9"/>
        <v>0</v>
      </c>
      <c r="Q122" s="1">
        <f t="shared" si="10"/>
        <v>4865.01</v>
      </c>
      <c r="R122" s="1" t="str">
        <f t="shared" si="11"/>
        <v>LOW</v>
      </c>
      <c r="S122" s="1" t="str" cm="1">
        <f t="array" ref="S122">_xlfn.IFS(L122&gt;=8,"HIGH",L122&gt;=5,"MEDIUM",L122&lt;5,"LOW")</f>
        <v>LOW</v>
      </c>
      <c r="T122" s="1" t="str">
        <f t="shared" si="12"/>
        <v>Low</v>
      </c>
    </row>
    <row r="123" spans="1:20" x14ac:dyDescent="0.35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  <c r="O123" s="1">
        <f t="shared" si="8"/>
        <v>2534.4699999999998</v>
      </c>
      <c r="P123" s="1">
        <f t="shared" si="9"/>
        <v>126.72349999999999</v>
      </c>
      <c r="Q123" s="1">
        <f t="shared" si="10"/>
        <v>2407.7464999999997</v>
      </c>
      <c r="R123" s="1" t="str">
        <f t="shared" si="11"/>
        <v>LOW</v>
      </c>
      <c r="S123" s="1" t="str" cm="1">
        <f t="array" ref="S123">_xlfn.IFS(L123&gt;=8,"HIGH",L123&gt;=5,"MEDIUM",L123&lt;5,"LOW")</f>
        <v>LOW</v>
      </c>
      <c r="T123" s="1" t="str">
        <f t="shared" si="12"/>
        <v>Low</v>
      </c>
    </row>
    <row r="124" spans="1:20" x14ac:dyDescent="0.35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  <c r="O124" s="1">
        <f t="shared" si="8"/>
        <v>13296.15</v>
      </c>
      <c r="P124" s="1">
        <f t="shared" si="9"/>
        <v>1994.4224999999999</v>
      </c>
      <c r="Q124" s="1">
        <f t="shared" si="10"/>
        <v>11301.727499999999</v>
      </c>
      <c r="R124" s="1" t="str">
        <f t="shared" si="11"/>
        <v>HIGH</v>
      </c>
      <c r="S124" s="1" t="str" cm="1">
        <f t="array" ref="S124">_xlfn.IFS(L124&gt;=8,"HIGH",L124&gt;=5,"MEDIUM",L124&lt;5,"LOW")</f>
        <v>MEDIUM</v>
      </c>
      <c r="T124" s="1" t="str">
        <f t="shared" si="12"/>
        <v>Medium</v>
      </c>
    </row>
    <row r="125" spans="1:20" x14ac:dyDescent="0.35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  <c r="O125" s="1">
        <f t="shared" si="8"/>
        <v>12614.92</v>
      </c>
      <c r="P125" s="1">
        <f t="shared" si="9"/>
        <v>0</v>
      </c>
      <c r="Q125" s="1">
        <f t="shared" si="10"/>
        <v>12614.92</v>
      </c>
      <c r="R125" s="1" t="str">
        <f t="shared" si="11"/>
        <v>HIGH</v>
      </c>
      <c r="S125" s="1" t="str" cm="1">
        <f t="array" ref="S125">_xlfn.IFS(L125&gt;=8,"HIGH",L125&gt;=5,"MEDIUM",L125&lt;5,"LOW")</f>
        <v>LOW</v>
      </c>
      <c r="T125" s="1" t="str">
        <f t="shared" si="12"/>
        <v>Low</v>
      </c>
    </row>
    <row r="126" spans="1:20" x14ac:dyDescent="0.35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  <c r="O126" s="1">
        <f t="shared" si="8"/>
        <v>3990.85</v>
      </c>
      <c r="P126" s="1">
        <f t="shared" si="9"/>
        <v>0</v>
      </c>
      <c r="Q126" s="1">
        <f t="shared" si="10"/>
        <v>3990.85</v>
      </c>
      <c r="R126" s="1" t="str">
        <f t="shared" si="11"/>
        <v>LOW</v>
      </c>
      <c r="S126" s="1" t="str" cm="1">
        <f t="array" ref="S126">_xlfn.IFS(L126&gt;=8,"HIGH",L126&gt;=5,"MEDIUM",L126&lt;5,"LOW")</f>
        <v>LOW</v>
      </c>
      <c r="T126" s="1" t="str">
        <f t="shared" si="12"/>
        <v>Low</v>
      </c>
    </row>
    <row r="127" spans="1:20" x14ac:dyDescent="0.35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  <c r="O127" s="1">
        <f t="shared" si="8"/>
        <v>11517.960000000001</v>
      </c>
      <c r="P127" s="1">
        <f t="shared" si="9"/>
        <v>575.89800000000002</v>
      </c>
      <c r="Q127" s="1">
        <f t="shared" si="10"/>
        <v>10942.062000000002</v>
      </c>
      <c r="R127" s="1" t="str">
        <f t="shared" si="11"/>
        <v>HIGH</v>
      </c>
      <c r="S127" s="1" t="str" cm="1">
        <f t="array" ref="S127">_xlfn.IFS(L127&gt;=8,"HIGH",L127&gt;=5,"MEDIUM",L127&lt;5,"LOW")</f>
        <v>MEDIUM</v>
      </c>
      <c r="T127" s="1" t="str">
        <f t="shared" si="12"/>
        <v>Low</v>
      </c>
    </row>
    <row r="128" spans="1:20" x14ac:dyDescent="0.35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  <c r="O128" s="1">
        <f t="shared" si="8"/>
        <v>10855.74</v>
      </c>
      <c r="P128" s="1">
        <f t="shared" si="9"/>
        <v>0</v>
      </c>
      <c r="Q128" s="1">
        <f t="shared" si="10"/>
        <v>10855.74</v>
      </c>
      <c r="R128" s="1" t="str">
        <f t="shared" si="11"/>
        <v>HIGH</v>
      </c>
      <c r="S128" s="1" t="str" cm="1">
        <f t="array" ref="S128">_xlfn.IFS(L128&gt;=8,"HIGH",L128&gt;=5,"MEDIUM",L128&lt;5,"LOW")</f>
        <v>MEDIUM</v>
      </c>
      <c r="T128" s="1" t="str">
        <f t="shared" si="12"/>
        <v>Low</v>
      </c>
    </row>
    <row r="129" spans="1:20" x14ac:dyDescent="0.35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  <c r="O129" s="1">
        <f t="shared" si="8"/>
        <v>912.67</v>
      </c>
      <c r="P129" s="1">
        <f t="shared" si="9"/>
        <v>0</v>
      </c>
      <c r="Q129" s="1">
        <f t="shared" si="10"/>
        <v>912.67</v>
      </c>
      <c r="R129" s="1" t="str">
        <f t="shared" si="11"/>
        <v>LOW</v>
      </c>
      <c r="S129" s="1" t="str" cm="1">
        <f t="array" ref="S129">_xlfn.IFS(L129&gt;=8,"HIGH",L129&gt;=5,"MEDIUM",L129&lt;5,"LOW")</f>
        <v>LOW</v>
      </c>
      <c r="T129" s="1" t="str">
        <f t="shared" si="12"/>
        <v>Low</v>
      </c>
    </row>
    <row r="130" spans="1:20" x14ac:dyDescent="0.35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  <c r="O130" s="1">
        <f t="shared" si="8"/>
        <v>805.82</v>
      </c>
      <c r="P130" s="1">
        <f t="shared" si="9"/>
        <v>80.582000000000008</v>
      </c>
      <c r="Q130" s="1">
        <f t="shared" si="10"/>
        <v>725.23800000000006</v>
      </c>
      <c r="R130" s="1" t="str">
        <f t="shared" si="11"/>
        <v>LOW</v>
      </c>
      <c r="S130" s="1" t="str" cm="1">
        <f t="array" ref="S130">_xlfn.IFS(L130&gt;=8,"HIGH",L130&gt;=5,"MEDIUM",L130&lt;5,"LOW")</f>
        <v>LOW</v>
      </c>
      <c r="T130" s="1" t="str">
        <f t="shared" si="12"/>
        <v>Low</v>
      </c>
    </row>
    <row r="131" spans="1:20" x14ac:dyDescent="0.35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  <c r="O131" s="1">
        <f t="shared" ref="O131:O194" si="13">L131*M131</f>
        <v>14261.64</v>
      </c>
      <c r="P131" s="1">
        <f t="shared" ref="P131:P194" si="14">O131*N131/100</f>
        <v>2852.328</v>
      </c>
      <c r="Q131" s="1">
        <f t="shared" ref="Q131:Q194" si="15">O131-P131</f>
        <v>11409.312</v>
      </c>
      <c r="R131" s="1" t="str">
        <f t="shared" ref="R131:R194" si="16">IF(Q131&gt;=10000, "HIGH", "LOW")</f>
        <v>HIGH</v>
      </c>
      <c r="S131" s="1" t="str" cm="1">
        <f t="array" ref="S131">_xlfn.IFS(L131&gt;=8,"HIGH",L131&gt;=5,"MEDIUM",L131&lt;5,"LOW")</f>
        <v>LOW</v>
      </c>
      <c r="T131" s="1" t="str">
        <f t="shared" ref="T131:T194" si="17">IF(P131&gt;=3000,"High",IF(P131&gt;=1500,"Medium","Low"))</f>
        <v>Medium</v>
      </c>
    </row>
    <row r="132" spans="1:20" x14ac:dyDescent="0.35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  <c r="O132" s="1">
        <f t="shared" si="13"/>
        <v>3532.84</v>
      </c>
      <c r="P132" s="1">
        <f t="shared" si="14"/>
        <v>353.28399999999999</v>
      </c>
      <c r="Q132" s="1">
        <f t="shared" si="15"/>
        <v>3179.556</v>
      </c>
      <c r="R132" s="1" t="str">
        <f t="shared" si="16"/>
        <v>LOW</v>
      </c>
      <c r="S132" s="1" t="str" cm="1">
        <f t="array" ref="S132">_xlfn.IFS(L132&gt;=8,"HIGH",L132&gt;=5,"MEDIUM",L132&lt;5,"LOW")</f>
        <v>LOW</v>
      </c>
      <c r="T132" s="1" t="str">
        <f t="shared" si="17"/>
        <v>Low</v>
      </c>
    </row>
    <row r="133" spans="1:20" x14ac:dyDescent="0.35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  <c r="O133" s="1">
        <f t="shared" si="13"/>
        <v>2063.0500000000002</v>
      </c>
      <c r="P133" s="1">
        <f t="shared" si="14"/>
        <v>0</v>
      </c>
      <c r="Q133" s="1">
        <f t="shared" si="15"/>
        <v>2063.0500000000002</v>
      </c>
      <c r="R133" s="1" t="str">
        <f t="shared" si="16"/>
        <v>LOW</v>
      </c>
      <c r="S133" s="1" t="str" cm="1">
        <f t="array" ref="S133">_xlfn.IFS(L133&gt;=8,"HIGH",L133&gt;=5,"MEDIUM",L133&lt;5,"LOW")</f>
        <v>LOW</v>
      </c>
      <c r="T133" s="1" t="str">
        <f t="shared" si="17"/>
        <v>Low</v>
      </c>
    </row>
    <row r="134" spans="1:20" x14ac:dyDescent="0.35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  <c r="O134" s="1">
        <f t="shared" si="13"/>
        <v>25761.61</v>
      </c>
      <c r="P134" s="1">
        <f t="shared" si="14"/>
        <v>1288.0805</v>
      </c>
      <c r="Q134" s="1">
        <f t="shared" si="15"/>
        <v>24473.529500000001</v>
      </c>
      <c r="R134" s="1" t="str">
        <f t="shared" si="16"/>
        <v>HIGH</v>
      </c>
      <c r="S134" s="1" t="str" cm="1">
        <f t="array" ref="S134">_xlfn.IFS(L134&gt;=8,"HIGH",L134&gt;=5,"MEDIUM",L134&lt;5,"LOW")</f>
        <v>MEDIUM</v>
      </c>
      <c r="T134" s="1" t="str">
        <f t="shared" si="17"/>
        <v>Low</v>
      </c>
    </row>
    <row r="135" spans="1:20" x14ac:dyDescent="0.35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  <c r="O135" s="1">
        <f t="shared" si="13"/>
        <v>25109.759999999998</v>
      </c>
      <c r="P135" s="1">
        <f t="shared" si="14"/>
        <v>5021.9519999999993</v>
      </c>
      <c r="Q135" s="1">
        <f t="shared" si="15"/>
        <v>20087.807999999997</v>
      </c>
      <c r="R135" s="1" t="str">
        <f t="shared" si="16"/>
        <v>HIGH</v>
      </c>
      <c r="S135" s="1" t="str" cm="1">
        <f t="array" ref="S135">_xlfn.IFS(L135&gt;=8,"HIGH",L135&gt;=5,"MEDIUM",L135&lt;5,"LOW")</f>
        <v>HIGH</v>
      </c>
      <c r="T135" s="1" t="str">
        <f t="shared" si="17"/>
        <v>High</v>
      </c>
    </row>
    <row r="136" spans="1:20" x14ac:dyDescent="0.35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  <c r="O136" s="1">
        <f t="shared" si="13"/>
        <v>3914.58</v>
      </c>
      <c r="P136" s="1">
        <f t="shared" si="14"/>
        <v>391.45800000000003</v>
      </c>
      <c r="Q136" s="1">
        <f t="shared" si="15"/>
        <v>3523.1219999999998</v>
      </c>
      <c r="R136" s="1" t="str">
        <f t="shared" si="16"/>
        <v>LOW</v>
      </c>
      <c r="S136" s="1" t="str" cm="1">
        <f t="array" ref="S136">_xlfn.IFS(L136&gt;=8,"HIGH",L136&gt;=5,"MEDIUM",L136&lt;5,"LOW")</f>
        <v>MEDIUM</v>
      </c>
      <c r="T136" s="1" t="str">
        <f t="shared" si="17"/>
        <v>Low</v>
      </c>
    </row>
    <row r="137" spans="1:20" x14ac:dyDescent="0.35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  <c r="O137" s="1">
        <f t="shared" si="13"/>
        <v>9307.48</v>
      </c>
      <c r="P137" s="1">
        <f t="shared" si="14"/>
        <v>1396.1219999999998</v>
      </c>
      <c r="Q137" s="1">
        <f t="shared" si="15"/>
        <v>7911.3580000000002</v>
      </c>
      <c r="R137" s="1" t="str">
        <f t="shared" si="16"/>
        <v>LOW</v>
      </c>
      <c r="S137" s="1" t="str" cm="1">
        <f t="array" ref="S137">_xlfn.IFS(L137&gt;=8,"HIGH",L137&gt;=5,"MEDIUM",L137&lt;5,"LOW")</f>
        <v>LOW</v>
      </c>
      <c r="T137" s="1" t="str">
        <f t="shared" si="17"/>
        <v>Low</v>
      </c>
    </row>
    <row r="138" spans="1:20" x14ac:dyDescent="0.35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  <c r="O138" s="1">
        <f t="shared" si="13"/>
        <v>11116.02</v>
      </c>
      <c r="P138" s="1">
        <f t="shared" si="14"/>
        <v>555.80100000000004</v>
      </c>
      <c r="Q138" s="1">
        <f t="shared" si="15"/>
        <v>10560.219000000001</v>
      </c>
      <c r="R138" s="1" t="str">
        <f t="shared" si="16"/>
        <v>HIGH</v>
      </c>
      <c r="S138" s="1" t="str" cm="1">
        <f t="array" ref="S138">_xlfn.IFS(L138&gt;=8,"HIGH",L138&gt;=5,"MEDIUM",L138&lt;5,"LOW")</f>
        <v>MEDIUM</v>
      </c>
      <c r="T138" s="1" t="str">
        <f t="shared" si="17"/>
        <v>Low</v>
      </c>
    </row>
    <row r="139" spans="1:20" x14ac:dyDescent="0.35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  <c r="O139" s="1">
        <f t="shared" si="13"/>
        <v>9657.7800000000007</v>
      </c>
      <c r="P139" s="1">
        <f t="shared" si="14"/>
        <v>965.77800000000002</v>
      </c>
      <c r="Q139" s="1">
        <f t="shared" si="15"/>
        <v>8692.0020000000004</v>
      </c>
      <c r="R139" s="1" t="str">
        <f t="shared" si="16"/>
        <v>LOW</v>
      </c>
      <c r="S139" s="1" t="str" cm="1">
        <f t="array" ref="S139">_xlfn.IFS(L139&gt;=8,"HIGH",L139&gt;=5,"MEDIUM",L139&lt;5,"LOW")</f>
        <v>LOW</v>
      </c>
      <c r="T139" s="1" t="str">
        <f t="shared" si="17"/>
        <v>Low</v>
      </c>
    </row>
    <row r="140" spans="1:20" x14ac:dyDescent="0.35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  <c r="O140" s="1">
        <f t="shared" si="13"/>
        <v>23506.400000000001</v>
      </c>
      <c r="P140" s="1">
        <f t="shared" si="14"/>
        <v>3525.96</v>
      </c>
      <c r="Q140" s="1">
        <f t="shared" si="15"/>
        <v>19980.440000000002</v>
      </c>
      <c r="R140" s="1" t="str">
        <f t="shared" si="16"/>
        <v>HIGH</v>
      </c>
      <c r="S140" s="1" t="str" cm="1">
        <f t="array" ref="S140">_xlfn.IFS(L140&gt;=8,"HIGH",L140&gt;=5,"MEDIUM",L140&lt;5,"LOW")</f>
        <v>HIGH</v>
      </c>
      <c r="T140" s="1" t="str">
        <f t="shared" si="17"/>
        <v>High</v>
      </c>
    </row>
    <row r="141" spans="1:20" x14ac:dyDescent="0.35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  <c r="O141" s="1">
        <f t="shared" si="13"/>
        <v>5616.12</v>
      </c>
      <c r="P141" s="1">
        <f t="shared" si="14"/>
        <v>0</v>
      </c>
      <c r="Q141" s="1">
        <f t="shared" si="15"/>
        <v>5616.12</v>
      </c>
      <c r="R141" s="1" t="str">
        <f t="shared" si="16"/>
        <v>LOW</v>
      </c>
      <c r="S141" s="1" t="str" cm="1">
        <f t="array" ref="S141">_xlfn.IFS(L141&gt;=8,"HIGH",L141&gt;=5,"MEDIUM",L141&lt;5,"LOW")</f>
        <v>LOW</v>
      </c>
      <c r="T141" s="1" t="str">
        <f t="shared" si="17"/>
        <v>Low</v>
      </c>
    </row>
    <row r="142" spans="1:20" x14ac:dyDescent="0.35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  <c r="O142" s="1">
        <f t="shared" si="13"/>
        <v>7305.5</v>
      </c>
      <c r="P142" s="1">
        <f t="shared" si="14"/>
        <v>1095.825</v>
      </c>
      <c r="Q142" s="1">
        <f t="shared" si="15"/>
        <v>6209.6750000000002</v>
      </c>
      <c r="R142" s="1" t="str">
        <f t="shared" si="16"/>
        <v>LOW</v>
      </c>
      <c r="S142" s="1" t="str" cm="1">
        <f t="array" ref="S142">_xlfn.IFS(L142&gt;=8,"HIGH",L142&gt;=5,"MEDIUM",L142&lt;5,"LOW")</f>
        <v>MEDIUM</v>
      </c>
      <c r="T142" s="1" t="str">
        <f t="shared" si="17"/>
        <v>Low</v>
      </c>
    </row>
    <row r="143" spans="1:20" x14ac:dyDescent="0.35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  <c r="O143" s="1">
        <f t="shared" si="13"/>
        <v>3249.11</v>
      </c>
      <c r="P143" s="1">
        <f t="shared" si="14"/>
        <v>324.911</v>
      </c>
      <c r="Q143" s="1">
        <f t="shared" si="15"/>
        <v>2924.1990000000001</v>
      </c>
      <c r="R143" s="1" t="str">
        <f t="shared" si="16"/>
        <v>LOW</v>
      </c>
      <c r="S143" s="1" t="str" cm="1">
        <f t="array" ref="S143">_xlfn.IFS(L143&gt;=8,"HIGH",L143&gt;=5,"MEDIUM",L143&lt;5,"LOW")</f>
        <v>LOW</v>
      </c>
      <c r="T143" s="1" t="str">
        <f t="shared" si="17"/>
        <v>Low</v>
      </c>
    </row>
    <row r="144" spans="1:20" x14ac:dyDescent="0.35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  <c r="O144" s="1">
        <f t="shared" si="13"/>
        <v>1529.12</v>
      </c>
      <c r="P144" s="1">
        <f t="shared" si="14"/>
        <v>0</v>
      </c>
      <c r="Q144" s="1">
        <f t="shared" si="15"/>
        <v>1529.12</v>
      </c>
      <c r="R144" s="1" t="str">
        <f t="shared" si="16"/>
        <v>LOW</v>
      </c>
      <c r="S144" s="1" t="str" cm="1">
        <f t="array" ref="S144">_xlfn.IFS(L144&gt;=8,"HIGH",L144&gt;=5,"MEDIUM",L144&lt;5,"LOW")</f>
        <v>LOW</v>
      </c>
      <c r="T144" s="1" t="str">
        <f t="shared" si="17"/>
        <v>Low</v>
      </c>
    </row>
    <row r="145" spans="1:20" x14ac:dyDescent="0.35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  <c r="O145" s="1">
        <f t="shared" si="13"/>
        <v>5768.6</v>
      </c>
      <c r="P145" s="1">
        <f t="shared" si="14"/>
        <v>865.29</v>
      </c>
      <c r="Q145" s="1">
        <f t="shared" si="15"/>
        <v>4903.3100000000004</v>
      </c>
      <c r="R145" s="1" t="str">
        <f t="shared" si="16"/>
        <v>LOW</v>
      </c>
      <c r="S145" s="1" t="str" cm="1">
        <f t="array" ref="S145">_xlfn.IFS(L145&gt;=8,"HIGH",L145&gt;=5,"MEDIUM",L145&lt;5,"LOW")</f>
        <v>LOW</v>
      </c>
      <c r="T145" s="1" t="str">
        <f t="shared" si="17"/>
        <v>Low</v>
      </c>
    </row>
    <row r="146" spans="1:20" x14ac:dyDescent="0.35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  <c r="O146" s="1">
        <f t="shared" si="13"/>
        <v>2674.2599999999998</v>
      </c>
      <c r="P146" s="1">
        <f t="shared" si="14"/>
        <v>401.13899999999995</v>
      </c>
      <c r="Q146" s="1">
        <f t="shared" si="15"/>
        <v>2273.1209999999996</v>
      </c>
      <c r="R146" s="1" t="str">
        <f t="shared" si="16"/>
        <v>LOW</v>
      </c>
      <c r="S146" s="1" t="str" cm="1">
        <f t="array" ref="S146">_xlfn.IFS(L146&gt;=8,"HIGH",L146&gt;=5,"MEDIUM",L146&lt;5,"LOW")</f>
        <v>MEDIUM</v>
      </c>
      <c r="T146" s="1" t="str">
        <f t="shared" si="17"/>
        <v>Low</v>
      </c>
    </row>
    <row r="147" spans="1:20" x14ac:dyDescent="0.35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  <c r="O147" s="1">
        <f t="shared" si="13"/>
        <v>8437.84</v>
      </c>
      <c r="P147" s="1">
        <f t="shared" si="14"/>
        <v>0</v>
      </c>
      <c r="Q147" s="1">
        <f t="shared" si="15"/>
        <v>8437.84</v>
      </c>
      <c r="R147" s="1" t="str">
        <f t="shared" si="16"/>
        <v>LOW</v>
      </c>
      <c r="S147" s="1" t="str" cm="1">
        <f t="array" ref="S147">_xlfn.IFS(L147&gt;=8,"HIGH",L147&gt;=5,"MEDIUM",L147&lt;5,"LOW")</f>
        <v>HIGH</v>
      </c>
      <c r="T147" s="1" t="str">
        <f t="shared" si="17"/>
        <v>Low</v>
      </c>
    </row>
    <row r="148" spans="1:20" x14ac:dyDescent="0.35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  <c r="O148" s="1">
        <f t="shared" si="13"/>
        <v>26768.639999999999</v>
      </c>
      <c r="P148" s="1">
        <f t="shared" si="14"/>
        <v>4015.2959999999998</v>
      </c>
      <c r="Q148" s="1">
        <f t="shared" si="15"/>
        <v>22753.344000000001</v>
      </c>
      <c r="R148" s="1" t="str">
        <f t="shared" si="16"/>
        <v>HIGH</v>
      </c>
      <c r="S148" s="1" t="str" cm="1">
        <f t="array" ref="S148">_xlfn.IFS(L148&gt;=8,"HIGH",L148&gt;=5,"MEDIUM",L148&lt;5,"LOW")</f>
        <v>HIGH</v>
      </c>
      <c r="T148" s="1" t="str">
        <f t="shared" si="17"/>
        <v>High</v>
      </c>
    </row>
    <row r="149" spans="1:20" x14ac:dyDescent="0.35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67</v>
      </c>
      <c r="K149" s="1" t="s">
        <v>44</v>
      </c>
      <c r="L149" s="1">
        <v>6</v>
      </c>
      <c r="M149" s="1">
        <v>3800.77</v>
      </c>
      <c r="N149" s="1">
        <v>0</v>
      </c>
      <c r="O149" s="1">
        <f t="shared" si="13"/>
        <v>22804.62</v>
      </c>
      <c r="P149" s="1">
        <f t="shared" si="14"/>
        <v>0</v>
      </c>
      <c r="Q149" s="1">
        <f t="shared" si="15"/>
        <v>22804.62</v>
      </c>
      <c r="R149" s="1" t="str">
        <f t="shared" si="16"/>
        <v>HIGH</v>
      </c>
      <c r="S149" s="1" t="str" cm="1">
        <f t="array" ref="S149">_xlfn.IFS(L149&gt;=8,"HIGH",L149&gt;=5,"MEDIUM",L149&lt;5,"LOW")</f>
        <v>MEDIUM</v>
      </c>
      <c r="T149" s="1" t="str">
        <f t="shared" si="17"/>
        <v>Low</v>
      </c>
    </row>
    <row r="150" spans="1:20" x14ac:dyDescent="0.35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  <c r="O150" s="1">
        <f t="shared" si="13"/>
        <v>5290.88</v>
      </c>
      <c r="P150" s="1">
        <f t="shared" si="14"/>
        <v>264.54400000000004</v>
      </c>
      <c r="Q150" s="1">
        <f t="shared" si="15"/>
        <v>5026.3360000000002</v>
      </c>
      <c r="R150" s="1" t="str">
        <f t="shared" si="16"/>
        <v>LOW</v>
      </c>
      <c r="S150" s="1" t="str" cm="1">
        <f t="array" ref="S150">_xlfn.IFS(L150&gt;=8,"HIGH",L150&gt;=5,"MEDIUM",L150&lt;5,"LOW")</f>
        <v>LOW</v>
      </c>
      <c r="T150" s="1" t="str">
        <f t="shared" si="17"/>
        <v>Low</v>
      </c>
    </row>
    <row r="151" spans="1:20" x14ac:dyDescent="0.35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  <c r="O151" s="1">
        <f t="shared" si="13"/>
        <v>9347.1200000000008</v>
      </c>
      <c r="P151" s="1">
        <f t="shared" si="14"/>
        <v>934.7120000000001</v>
      </c>
      <c r="Q151" s="1">
        <f t="shared" si="15"/>
        <v>8412.4080000000013</v>
      </c>
      <c r="R151" s="1" t="str">
        <f t="shared" si="16"/>
        <v>LOW</v>
      </c>
      <c r="S151" s="1" t="str" cm="1">
        <f t="array" ref="S151">_xlfn.IFS(L151&gt;=8,"HIGH",L151&gt;=5,"MEDIUM",L151&lt;5,"LOW")</f>
        <v>HIGH</v>
      </c>
      <c r="T151" s="1" t="str">
        <f t="shared" si="17"/>
        <v>Low</v>
      </c>
    </row>
    <row r="152" spans="1:20" x14ac:dyDescent="0.35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  <c r="O152" s="1">
        <f t="shared" si="13"/>
        <v>9820.7199999999993</v>
      </c>
      <c r="P152" s="1">
        <f t="shared" si="14"/>
        <v>491.036</v>
      </c>
      <c r="Q152" s="1">
        <f t="shared" si="15"/>
        <v>9329.6839999999993</v>
      </c>
      <c r="R152" s="1" t="str">
        <f t="shared" si="16"/>
        <v>LOW</v>
      </c>
      <c r="S152" s="1" t="str" cm="1">
        <f t="array" ref="S152">_xlfn.IFS(L152&gt;=8,"HIGH",L152&gt;=5,"MEDIUM",L152&lt;5,"LOW")</f>
        <v>HIGH</v>
      </c>
      <c r="T152" s="1" t="str">
        <f t="shared" si="17"/>
        <v>Low</v>
      </c>
    </row>
    <row r="153" spans="1:20" x14ac:dyDescent="0.35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  <c r="O153" s="1">
        <f t="shared" si="13"/>
        <v>1219.22</v>
      </c>
      <c r="P153" s="1">
        <f t="shared" si="14"/>
        <v>243.84400000000002</v>
      </c>
      <c r="Q153" s="1">
        <f t="shared" si="15"/>
        <v>975.37599999999998</v>
      </c>
      <c r="R153" s="1" t="str">
        <f t="shared" si="16"/>
        <v>LOW</v>
      </c>
      <c r="S153" s="1" t="str" cm="1">
        <f t="array" ref="S153">_xlfn.IFS(L153&gt;=8,"HIGH",L153&gt;=5,"MEDIUM",L153&lt;5,"LOW")</f>
        <v>LOW</v>
      </c>
      <c r="T153" s="1" t="str">
        <f t="shared" si="17"/>
        <v>Low</v>
      </c>
    </row>
    <row r="154" spans="1:20" x14ac:dyDescent="0.35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  <c r="O154" s="1">
        <f t="shared" si="13"/>
        <v>1153.32</v>
      </c>
      <c r="P154" s="1">
        <f t="shared" si="14"/>
        <v>230.66399999999999</v>
      </c>
      <c r="Q154" s="1">
        <f t="shared" si="15"/>
        <v>922.65599999999995</v>
      </c>
      <c r="R154" s="1" t="str">
        <f t="shared" si="16"/>
        <v>LOW</v>
      </c>
      <c r="S154" s="1" t="str" cm="1">
        <f t="array" ref="S154">_xlfn.IFS(L154&gt;=8,"HIGH",L154&gt;=5,"MEDIUM",L154&lt;5,"LOW")</f>
        <v>LOW</v>
      </c>
      <c r="T154" s="1" t="str">
        <f t="shared" si="17"/>
        <v>Low</v>
      </c>
    </row>
    <row r="155" spans="1:20" x14ac:dyDescent="0.35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  <c r="O155" s="1">
        <f t="shared" si="13"/>
        <v>14874.52</v>
      </c>
      <c r="P155" s="1">
        <f t="shared" si="14"/>
        <v>2974.9040000000005</v>
      </c>
      <c r="Q155" s="1">
        <f t="shared" si="15"/>
        <v>11899.616</v>
      </c>
      <c r="R155" s="1" t="str">
        <f t="shared" si="16"/>
        <v>HIGH</v>
      </c>
      <c r="S155" s="1" t="str" cm="1">
        <f t="array" ref="S155">_xlfn.IFS(L155&gt;=8,"HIGH",L155&gt;=5,"MEDIUM",L155&lt;5,"LOW")</f>
        <v>LOW</v>
      </c>
      <c r="T155" s="1" t="str">
        <f t="shared" si="17"/>
        <v>Medium</v>
      </c>
    </row>
    <row r="156" spans="1:20" x14ac:dyDescent="0.35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  <c r="O156" s="1">
        <f t="shared" si="13"/>
        <v>6809.18</v>
      </c>
      <c r="P156" s="1">
        <f t="shared" si="14"/>
        <v>0</v>
      </c>
      <c r="Q156" s="1">
        <f t="shared" si="15"/>
        <v>6809.18</v>
      </c>
      <c r="R156" s="1" t="str">
        <f t="shared" si="16"/>
        <v>LOW</v>
      </c>
      <c r="S156" s="1" t="str" cm="1">
        <f t="array" ref="S156">_xlfn.IFS(L156&gt;=8,"HIGH",L156&gt;=5,"MEDIUM",L156&lt;5,"LOW")</f>
        <v>MEDIUM</v>
      </c>
      <c r="T156" s="1" t="str">
        <f t="shared" si="17"/>
        <v>Low</v>
      </c>
    </row>
    <row r="157" spans="1:20" x14ac:dyDescent="0.35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  <c r="O157" s="1">
        <f t="shared" si="13"/>
        <v>12369.14</v>
      </c>
      <c r="P157" s="1">
        <f t="shared" si="14"/>
        <v>1855.3709999999999</v>
      </c>
      <c r="Q157" s="1">
        <f t="shared" si="15"/>
        <v>10513.769</v>
      </c>
      <c r="R157" s="1" t="str">
        <f t="shared" si="16"/>
        <v>HIGH</v>
      </c>
      <c r="S157" s="1" t="str" cm="1">
        <f t="array" ref="S157">_xlfn.IFS(L157&gt;=8,"HIGH",L157&gt;=5,"MEDIUM",L157&lt;5,"LOW")</f>
        <v>MEDIUM</v>
      </c>
      <c r="T157" s="1" t="str">
        <f t="shared" si="17"/>
        <v>Medium</v>
      </c>
    </row>
    <row r="158" spans="1:20" x14ac:dyDescent="0.35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  <c r="O158" s="1">
        <f t="shared" si="13"/>
        <v>1498.32</v>
      </c>
      <c r="P158" s="1">
        <f t="shared" si="14"/>
        <v>74.915999999999997</v>
      </c>
      <c r="Q158" s="1">
        <f t="shared" si="15"/>
        <v>1423.404</v>
      </c>
      <c r="R158" s="1" t="str">
        <f t="shared" si="16"/>
        <v>LOW</v>
      </c>
      <c r="S158" s="1" t="str" cm="1">
        <f t="array" ref="S158">_xlfn.IFS(L158&gt;=8,"HIGH",L158&gt;=5,"MEDIUM",L158&lt;5,"LOW")</f>
        <v>HIGH</v>
      </c>
      <c r="T158" s="1" t="str">
        <f t="shared" si="17"/>
        <v>Low</v>
      </c>
    </row>
    <row r="159" spans="1:20" x14ac:dyDescent="0.35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  <c r="O159" s="1">
        <f t="shared" si="13"/>
        <v>20754.72</v>
      </c>
      <c r="P159" s="1">
        <f t="shared" si="14"/>
        <v>1037.7360000000001</v>
      </c>
      <c r="Q159" s="1">
        <f t="shared" si="15"/>
        <v>19716.984</v>
      </c>
      <c r="R159" s="1" t="str">
        <f t="shared" si="16"/>
        <v>HIGH</v>
      </c>
      <c r="S159" s="1" t="str" cm="1">
        <f t="array" ref="S159">_xlfn.IFS(L159&gt;=8,"HIGH",L159&gt;=5,"MEDIUM",L159&lt;5,"LOW")</f>
        <v>MEDIUM</v>
      </c>
      <c r="T159" s="1" t="str">
        <f t="shared" si="17"/>
        <v>Low</v>
      </c>
    </row>
    <row r="160" spans="1:20" x14ac:dyDescent="0.35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  <c r="O160" s="1">
        <f t="shared" si="13"/>
        <v>30360.080000000002</v>
      </c>
      <c r="P160" s="1">
        <f t="shared" si="14"/>
        <v>1518.0040000000001</v>
      </c>
      <c r="Q160" s="1">
        <f t="shared" si="15"/>
        <v>28842.076000000001</v>
      </c>
      <c r="R160" s="1" t="str">
        <f t="shared" si="16"/>
        <v>HIGH</v>
      </c>
      <c r="S160" s="1" t="str" cm="1">
        <f t="array" ref="S160">_xlfn.IFS(L160&gt;=8,"HIGH",L160&gt;=5,"MEDIUM",L160&lt;5,"LOW")</f>
        <v>HIGH</v>
      </c>
      <c r="T160" s="1" t="str">
        <f t="shared" si="17"/>
        <v>Medium</v>
      </c>
    </row>
    <row r="161" spans="1:20" x14ac:dyDescent="0.35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  <c r="O161" s="1">
        <f t="shared" si="13"/>
        <v>28432.98</v>
      </c>
      <c r="P161" s="1">
        <f t="shared" si="14"/>
        <v>5686.5959999999995</v>
      </c>
      <c r="Q161" s="1">
        <f t="shared" si="15"/>
        <v>22746.383999999998</v>
      </c>
      <c r="R161" s="1" t="str">
        <f t="shared" si="16"/>
        <v>HIGH</v>
      </c>
      <c r="S161" s="1" t="str" cm="1">
        <f t="array" ref="S161">_xlfn.IFS(L161&gt;=8,"HIGH",L161&gt;=5,"MEDIUM",L161&lt;5,"LOW")</f>
        <v>HIGH</v>
      </c>
      <c r="T161" s="1" t="str">
        <f t="shared" si="17"/>
        <v>High</v>
      </c>
    </row>
    <row r="162" spans="1:20" x14ac:dyDescent="0.35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  <c r="O162" s="1">
        <f t="shared" si="13"/>
        <v>4073.31</v>
      </c>
      <c r="P162" s="1">
        <f t="shared" si="14"/>
        <v>203.66549999999998</v>
      </c>
      <c r="Q162" s="1">
        <f t="shared" si="15"/>
        <v>3869.6444999999999</v>
      </c>
      <c r="R162" s="1" t="str">
        <f t="shared" si="16"/>
        <v>LOW</v>
      </c>
      <c r="S162" s="1" t="str" cm="1">
        <f t="array" ref="S162">_xlfn.IFS(L162&gt;=8,"HIGH",L162&gt;=5,"MEDIUM",L162&lt;5,"LOW")</f>
        <v>LOW</v>
      </c>
      <c r="T162" s="1" t="str">
        <f t="shared" si="17"/>
        <v>Low</v>
      </c>
    </row>
    <row r="163" spans="1:20" x14ac:dyDescent="0.35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  <c r="O163" s="1">
        <f t="shared" si="13"/>
        <v>3312.93</v>
      </c>
      <c r="P163" s="1">
        <f t="shared" si="14"/>
        <v>496.93949999999995</v>
      </c>
      <c r="Q163" s="1">
        <f t="shared" si="15"/>
        <v>2815.9904999999999</v>
      </c>
      <c r="R163" s="1" t="str">
        <f t="shared" si="16"/>
        <v>LOW</v>
      </c>
      <c r="S163" s="1" t="str" cm="1">
        <f t="array" ref="S163">_xlfn.IFS(L163&gt;=8,"HIGH",L163&gt;=5,"MEDIUM",L163&lt;5,"LOW")</f>
        <v>LOW</v>
      </c>
      <c r="T163" s="1" t="str">
        <f t="shared" si="17"/>
        <v>Low</v>
      </c>
    </row>
    <row r="164" spans="1:20" x14ac:dyDescent="0.35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  <c r="O164" s="1">
        <f t="shared" si="13"/>
        <v>11344.84</v>
      </c>
      <c r="P164" s="1">
        <f t="shared" si="14"/>
        <v>2268.9679999999998</v>
      </c>
      <c r="Q164" s="1">
        <f t="shared" si="15"/>
        <v>9075.8719999999994</v>
      </c>
      <c r="R164" s="1" t="str">
        <f t="shared" si="16"/>
        <v>LOW</v>
      </c>
      <c r="S164" s="1" t="str" cm="1">
        <f t="array" ref="S164">_xlfn.IFS(L164&gt;=8,"HIGH",L164&gt;=5,"MEDIUM",L164&lt;5,"LOW")</f>
        <v>LOW</v>
      </c>
      <c r="T164" s="1" t="str">
        <f t="shared" si="17"/>
        <v>Medium</v>
      </c>
    </row>
    <row r="165" spans="1:20" x14ac:dyDescent="0.35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  <c r="O165" s="1">
        <f t="shared" si="13"/>
        <v>1218.6300000000001</v>
      </c>
      <c r="P165" s="1">
        <f t="shared" si="14"/>
        <v>121.86300000000001</v>
      </c>
      <c r="Q165" s="1">
        <f t="shared" si="15"/>
        <v>1096.7670000000001</v>
      </c>
      <c r="R165" s="1" t="str">
        <f t="shared" si="16"/>
        <v>LOW</v>
      </c>
      <c r="S165" s="1" t="str" cm="1">
        <f t="array" ref="S165">_xlfn.IFS(L165&gt;=8,"HIGH",L165&gt;=5,"MEDIUM",L165&lt;5,"LOW")</f>
        <v>MEDIUM</v>
      </c>
      <c r="T165" s="1" t="str">
        <f t="shared" si="17"/>
        <v>Low</v>
      </c>
    </row>
    <row r="166" spans="1:20" x14ac:dyDescent="0.35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  <c r="O166" s="1">
        <f t="shared" si="13"/>
        <v>3494.34</v>
      </c>
      <c r="P166" s="1">
        <f t="shared" si="14"/>
        <v>349.43400000000003</v>
      </c>
      <c r="Q166" s="1">
        <f t="shared" si="15"/>
        <v>3144.9059999999999</v>
      </c>
      <c r="R166" s="1" t="str">
        <f t="shared" si="16"/>
        <v>LOW</v>
      </c>
      <c r="S166" s="1" t="str" cm="1">
        <f t="array" ref="S166">_xlfn.IFS(L166&gt;=8,"HIGH",L166&gt;=5,"MEDIUM",L166&lt;5,"LOW")</f>
        <v>HIGH</v>
      </c>
      <c r="T166" s="1" t="str">
        <f t="shared" si="17"/>
        <v>Low</v>
      </c>
    </row>
    <row r="167" spans="1:20" x14ac:dyDescent="0.35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  <c r="O167" s="1">
        <f t="shared" si="13"/>
        <v>17689.36</v>
      </c>
      <c r="P167" s="1">
        <f t="shared" si="14"/>
        <v>1768.9360000000001</v>
      </c>
      <c r="Q167" s="1">
        <f t="shared" si="15"/>
        <v>15920.424000000001</v>
      </c>
      <c r="R167" s="1" t="str">
        <f t="shared" si="16"/>
        <v>HIGH</v>
      </c>
      <c r="S167" s="1" t="str" cm="1">
        <f t="array" ref="S167">_xlfn.IFS(L167&gt;=8,"HIGH",L167&gt;=5,"MEDIUM",L167&lt;5,"LOW")</f>
        <v>HIGH</v>
      </c>
      <c r="T167" s="1" t="str">
        <f t="shared" si="17"/>
        <v>Medium</v>
      </c>
    </row>
    <row r="168" spans="1:20" x14ac:dyDescent="0.35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  <c r="O168" s="1">
        <f t="shared" si="13"/>
        <v>11646.900000000001</v>
      </c>
      <c r="P168" s="1">
        <f t="shared" si="14"/>
        <v>2329.38</v>
      </c>
      <c r="Q168" s="1">
        <f t="shared" si="15"/>
        <v>9317.52</v>
      </c>
      <c r="R168" s="1" t="str">
        <f t="shared" si="16"/>
        <v>LOW</v>
      </c>
      <c r="S168" s="1" t="str" cm="1">
        <f t="array" ref="S168">_xlfn.IFS(L168&gt;=8,"HIGH",L168&gt;=5,"MEDIUM",L168&lt;5,"LOW")</f>
        <v>MEDIUM</v>
      </c>
      <c r="T168" s="1" t="str">
        <f t="shared" si="17"/>
        <v>Medium</v>
      </c>
    </row>
    <row r="169" spans="1:20" x14ac:dyDescent="0.35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  <c r="O169" s="1">
        <f t="shared" si="13"/>
        <v>4606.4900000000007</v>
      </c>
      <c r="P169" s="1">
        <f t="shared" si="14"/>
        <v>921.29800000000023</v>
      </c>
      <c r="Q169" s="1">
        <f t="shared" si="15"/>
        <v>3685.1920000000005</v>
      </c>
      <c r="R169" s="1" t="str">
        <f t="shared" si="16"/>
        <v>LOW</v>
      </c>
      <c r="S169" s="1" t="str" cm="1">
        <f t="array" ref="S169">_xlfn.IFS(L169&gt;=8,"HIGH",L169&gt;=5,"MEDIUM",L169&lt;5,"LOW")</f>
        <v>MEDIUM</v>
      </c>
      <c r="T169" s="1" t="str">
        <f t="shared" si="17"/>
        <v>Low</v>
      </c>
    </row>
    <row r="170" spans="1:20" x14ac:dyDescent="0.35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  <c r="O170" s="1">
        <f t="shared" si="13"/>
        <v>10628.75</v>
      </c>
      <c r="P170" s="1">
        <f t="shared" si="14"/>
        <v>1594.3125</v>
      </c>
      <c r="Q170" s="1">
        <f t="shared" si="15"/>
        <v>9034.4375</v>
      </c>
      <c r="R170" s="1" t="str">
        <f t="shared" si="16"/>
        <v>LOW</v>
      </c>
      <c r="S170" s="1" t="str" cm="1">
        <f t="array" ref="S170">_xlfn.IFS(L170&gt;=8,"HIGH",L170&gt;=5,"MEDIUM",L170&lt;5,"LOW")</f>
        <v>MEDIUM</v>
      </c>
      <c r="T170" s="1" t="str">
        <f t="shared" si="17"/>
        <v>Medium</v>
      </c>
    </row>
    <row r="171" spans="1:20" x14ac:dyDescent="0.35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  <c r="O171" s="1">
        <f t="shared" si="13"/>
        <v>6290.34</v>
      </c>
      <c r="P171" s="1">
        <f t="shared" si="14"/>
        <v>0</v>
      </c>
      <c r="Q171" s="1">
        <f t="shared" si="15"/>
        <v>6290.34</v>
      </c>
      <c r="R171" s="1" t="str">
        <f t="shared" si="16"/>
        <v>LOW</v>
      </c>
      <c r="S171" s="1" t="str" cm="1">
        <f t="array" ref="S171">_xlfn.IFS(L171&gt;=8,"HIGH",L171&gt;=5,"MEDIUM",L171&lt;5,"LOW")</f>
        <v>MEDIUM</v>
      </c>
      <c r="T171" s="1" t="str">
        <f t="shared" si="17"/>
        <v>Low</v>
      </c>
    </row>
    <row r="172" spans="1:20" x14ac:dyDescent="0.35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  <c r="O172" s="1">
        <f t="shared" si="13"/>
        <v>508.81</v>
      </c>
      <c r="P172" s="1">
        <f t="shared" si="14"/>
        <v>0</v>
      </c>
      <c r="Q172" s="1">
        <f t="shared" si="15"/>
        <v>508.81</v>
      </c>
      <c r="R172" s="1" t="str">
        <f t="shared" si="16"/>
        <v>LOW</v>
      </c>
      <c r="S172" s="1" t="str" cm="1">
        <f t="array" ref="S172">_xlfn.IFS(L172&gt;=8,"HIGH",L172&gt;=5,"MEDIUM",L172&lt;5,"LOW")</f>
        <v>LOW</v>
      </c>
      <c r="T172" s="1" t="str">
        <f t="shared" si="17"/>
        <v>Low</v>
      </c>
    </row>
    <row r="173" spans="1:20" x14ac:dyDescent="0.35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  <c r="O173" s="1">
        <f t="shared" si="13"/>
        <v>1730.41</v>
      </c>
      <c r="P173" s="1">
        <f t="shared" si="14"/>
        <v>173.04100000000003</v>
      </c>
      <c r="Q173" s="1">
        <f t="shared" si="15"/>
        <v>1557.3690000000001</v>
      </c>
      <c r="R173" s="1" t="str">
        <f t="shared" si="16"/>
        <v>LOW</v>
      </c>
      <c r="S173" s="1" t="str" cm="1">
        <f t="array" ref="S173">_xlfn.IFS(L173&gt;=8,"HIGH",L173&gt;=5,"MEDIUM",L173&lt;5,"LOW")</f>
        <v>LOW</v>
      </c>
      <c r="T173" s="1" t="str">
        <f t="shared" si="17"/>
        <v>Low</v>
      </c>
    </row>
    <row r="174" spans="1:20" x14ac:dyDescent="0.35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  <c r="O174" s="1">
        <f t="shared" si="13"/>
        <v>2336.5500000000002</v>
      </c>
      <c r="P174" s="1">
        <f t="shared" si="14"/>
        <v>233.655</v>
      </c>
      <c r="Q174" s="1">
        <f t="shared" si="15"/>
        <v>2102.895</v>
      </c>
      <c r="R174" s="1" t="str">
        <f t="shared" si="16"/>
        <v>LOW</v>
      </c>
      <c r="S174" s="1" t="str" cm="1">
        <f t="array" ref="S174">_xlfn.IFS(L174&gt;=8,"HIGH",L174&gt;=5,"MEDIUM",L174&lt;5,"LOW")</f>
        <v>LOW</v>
      </c>
      <c r="T174" s="1" t="str">
        <f t="shared" si="17"/>
        <v>Low</v>
      </c>
    </row>
    <row r="175" spans="1:20" x14ac:dyDescent="0.35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  <c r="O175" s="1">
        <f t="shared" si="13"/>
        <v>2745.18</v>
      </c>
      <c r="P175" s="1">
        <f t="shared" si="14"/>
        <v>137.25899999999999</v>
      </c>
      <c r="Q175" s="1">
        <f t="shared" si="15"/>
        <v>2607.9209999999998</v>
      </c>
      <c r="R175" s="1" t="str">
        <f t="shared" si="16"/>
        <v>LOW</v>
      </c>
      <c r="S175" s="1" t="str" cm="1">
        <f t="array" ref="S175">_xlfn.IFS(L175&gt;=8,"HIGH",L175&gt;=5,"MEDIUM",L175&lt;5,"LOW")</f>
        <v>LOW</v>
      </c>
      <c r="T175" s="1" t="str">
        <f t="shared" si="17"/>
        <v>Low</v>
      </c>
    </row>
    <row r="176" spans="1:20" x14ac:dyDescent="0.35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  <c r="O176" s="1">
        <f t="shared" si="13"/>
        <v>8040.5500000000011</v>
      </c>
      <c r="P176" s="1">
        <f t="shared" si="14"/>
        <v>1206.0825000000002</v>
      </c>
      <c r="Q176" s="1">
        <f t="shared" si="15"/>
        <v>6834.4675000000007</v>
      </c>
      <c r="R176" s="1" t="str">
        <f t="shared" si="16"/>
        <v>LOW</v>
      </c>
      <c r="S176" s="1" t="str" cm="1">
        <f t="array" ref="S176">_xlfn.IFS(L176&gt;=8,"HIGH",L176&gt;=5,"MEDIUM",L176&lt;5,"LOW")</f>
        <v>MEDIUM</v>
      </c>
      <c r="T176" s="1" t="str">
        <f t="shared" si="17"/>
        <v>Low</v>
      </c>
    </row>
    <row r="177" spans="1:20" x14ac:dyDescent="0.35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  <c r="O177" s="1">
        <f t="shared" si="13"/>
        <v>974.46</v>
      </c>
      <c r="P177" s="1">
        <f t="shared" si="14"/>
        <v>146.16900000000001</v>
      </c>
      <c r="Q177" s="1">
        <f t="shared" si="15"/>
        <v>828.29100000000005</v>
      </c>
      <c r="R177" s="1" t="str">
        <f t="shared" si="16"/>
        <v>LOW</v>
      </c>
      <c r="S177" s="1" t="str" cm="1">
        <f t="array" ref="S177">_xlfn.IFS(L177&gt;=8,"HIGH",L177&gt;=5,"MEDIUM",L177&lt;5,"LOW")</f>
        <v>LOW</v>
      </c>
      <c r="T177" s="1" t="str">
        <f t="shared" si="17"/>
        <v>Low</v>
      </c>
    </row>
    <row r="178" spans="1:20" x14ac:dyDescent="0.35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  <c r="O178" s="1">
        <f t="shared" si="13"/>
        <v>1984.72</v>
      </c>
      <c r="P178" s="1">
        <f t="shared" si="14"/>
        <v>297.70799999999997</v>
      </c>
      <c r="Q178" s="1">
        <f t="shared" si="15"/>
        <v>1687.0120000000002</v>
      </c>
      <c r="R178" s="1" t="str">
        <f t="shared" si="16"/>
        <v>LOW</v>
      </c>
      <c r="S178" s="1" t="str" cm="1">
        <f t="array" ref="S178">_xlfn.IFS(L178&gt;=8,"HIGH",L178&gt;=5,"MEDIUM",L178&lt;5,"LOW")</f>
        <v>LOW</v>
      </c>
      <c r="T178" s="1" t="str">
        <f t="shared" si="17"/>
        <v>Low</v>
      </c>
    </row>
    <row r="179" spans="1:20" x14ac:dyDescent="0.35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  <c r="O179" s="1">
        <f t="shared" si="13"/>
        <v>1788.02</v>
      </c>
      <c r="P179" s="1">
        <f t="shared" si="14"/>
        <v>268.20299999999997</v>
      </c>
      <c r="Q179" s="1">
        <f t="shared" si="15"/>
        <v>1519.817</v>
      </c>
      <c r="R179" s="1" t="str">
        <f t="shared" si="16"/>
        <v>LOW</v>
      </c>
      <c r="S179" s="1" t="str" cm="1">
        <f t="array" ref="S179">_xlfn.IFS(L179&gt;=8,"HIGH",L179&gt;=5,"MEDIUM",L179&lt;5,"LOW")</f>
        <v>LOW</v>
      </c>
      <c r="T179" s="1" t="str">
        <f t="shared" si="17"/>
        <v>Low</v>
      </c>
    </row>
    <row r="180" spans="1:20" x14ac:dyDescent="0.35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  <c r="O180" s="1">
        <f t="shared" si="13"/>
        <v>2067.8999999999996</v>
      </c>
      <c r="P180" s="1">
        <f t="shared" si="14"/>
        <v>206.78999999999996</v>
      </c>
      <c r="Q180" s="1">
        <f t="shared" si="15"/>
        <v>1861.1099999999997</v>
      </c>
      <c r="R180" s="1" t="str">
        <f t="shared" si="16"/>
        <v>LOW</v>
      </c>
      <c r="S180" s="1" t="str" cm="1">
        <f t="array" ref="S180">_xlfn.IFS(L180&gt;=8,"HIGH",L180&gt;=5,"MEDIUM",L180&lt;5,"LOW")</f>
        <v>MEDIUM</v>
      </c>
      <c r="T180" s="1" t="str">
        <f t="shared" si="17"/>
        <v>Low</v>
      </c>
    </row>
    <row r="181" spans="1:20" x14ac:dyDescent="0.35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  <c r="O181" s="1">
        <f t="shared" si="13"/>
        <v>20494.88</v>
      </c>
      <c r="P181" s="1">
        <f t="shared" si="14"/>
        <v>0</v>
      </c>
      <c r="Q181" s="1">
        <f t="shared" si="15"/>
        <v>20494.88</v>
      </c>
      <c r="R181" s="1" t="str">
        <f t="shared" si="16"/>
        <v>HIGH</v>
      </c>
      <c r="S181" s="1" t="str" cm="1">
        <f t="array" ref="S181">_xlfn.IFS(L181&gt;=8,"HIGH",L181&gt;=5,"MEDIUM",L181&lt;5,"LOW")</f>
        <v>HIGH</v>
      </c>
      <c r="T181" s="1" t="str">
        <f t="shared" si="17"/>
        <v>Low</v>
      </c>
    </row>
    <row r="182" spans="1:20" x14ac:dyDescent="0.35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67</v>
      </c>
      <c r="K182" s="1" t="s">
        <v>44</v>
      </c>
      <c r="L182" s="1">
        <v>4</v>
      </c>
      <c r="M182" s="1">
        <v>1256.21</v>
      </c>
      <c r="N182" s="1">
        <v>10</v>
      </c>
      <c r="O182" s="1">
        <f t="shared" si="13"/>
        <v>5024.84</v>
      </c>
      <c r="P182" s="1">
        <f t="shared" si="14"/>
        <v>502.48400000000004</v>
      </c>
      <c r="Q182" s="1">
        <f t="shared" si="15"/>
        <v>4522.3559999999998</v>
      </c>
      <c r="R182" s="1" t="str">
        <f t="shared" si="16"/>
        <v>LOW</v>
      </c>
      <c r="S182" s="1" t="str" cm="1">
        <f t="array" ref="S182">_xlfn.IFS(L182&gt;=8,"HIGH",L182&gt;=5,"MEDIUM",L182&lt;5,"LOW")</f>
        <v>LOW</v>
      </c>
      <c r="T182" s="1" t="str">
        <f t="shared" si="17"/>
        <v>Low</v>
      </c>
    </row>
    <row r="183" spans="1:20" x14ac:dyDescent="0.35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65</v>
      </c>
      <c r="K183" s="1" t="s">
        <v>44</v>
      </c>
      <c r="L183" s="1">
        <v>5</v>
      </c>
      <c r="M183" s="1">
        <v>1227.02</v>
      </c>
      <c r="N183" s="1">
        <v>15</v>
      </c>
      <c r="O183" s="1">
        <f t="shared" si="13"/>
        <v>6135.1</v>
      </c>
      <c r="P183" s="1">
        <f t="shared" si="14"/>
        <v>920.26499999999999</v>
      </c>
      <c r="Q183" s="1">
        <f t="shared" si="15"/>
        <v>5214.835</v>
      </c>
      <c r="R183" s="1" t="str">
        <f t="shared" si="16"/>
        <v>LOW</v>
      </c>
      <c r="S183" s="1" t="str" cm="1">
        <f t="array" ref="S183">_xlfn.IFS(L183&gt;=8,"HIGH",L183&gt;=5,"MEDIUM",L183&lt;5,"LOW")</f>
        <v>MEDIUM</v>
      </c>
      <c r="T183" s="1" t="str">
        <f t="shared" si="17"/>
        <v>Low</v>
      </c>
    </row>
    <row r="184" spans="1:20" x14ac:dyDescent="0.35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  <c r="O184" s="1">
        <f t="shared" si="13"/>
        <v>5712.76</v>
      </c>
      <c r="P184" s="1">
        <f t="shared" si="14"/>
        <v>571.27600000000007</v>
      </c>
      <c r="Q184" s="1">
        <f t="shared" si="15"/>
        <v>5141.4840000000004</v>
      </c>
      <c r="R184" s="1" t="str">
        <f t="shared" si="16"/>
        <v>LOW</v>
      </c>
      <c r="S184" s="1" t="str" cm="1">
        <f t="array" ref="S184">_xlfn.IFS(L184&gt;=8,"HIGH",L184&gt;=5,"MEDIUM",L184&lt;5,"LOW")</f>
        <v>LOW</v>
      </c>
      <c r="T184" s="1" t="str">
        <f t="shared" si="17"/>
        <v>Low</v>
      </c>
    </row>
    <row r="185" spans="1:20" x14ac:dyDescent="0.35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65</v>
      </c>
      <c r="K185" s="1" t="s">
        <v>32</v>
      </c>
      <c r="L185" s="1">
        <v>3</v>
      </c>
      <c r="M185" s="1">
        <v>2701.77</v>
      </c>
      <c r="N185" s="1">
        <v>15</v>
      </c>
      <c r="O185" s="1">
        <f t="shared" si="13"/>
        <v>8105.3099999999995</v>
      </c>
      <c r="P185" s="1">
        <f t="shared" si="14"/>
        <v>1215.7964999999999</v>
      </c>
      <c r="Q185" s="1">
        <f t="shared" si="15"/>
        <v>6889.5134999999991</v>
      </c>
      <c r="R185" s="1" t="str">
        <f t="shared" si="16"/>
        <v>LOW</v>
      </c>
      <c r="S185" s="1" t="str" cm="1">
        <f t="array" ref="S185">_xlfn.IFS(L185&gt;=8,"HIGH",L185&gt;=5,"MEDIUM",L185&lt;5,"LOW")</f>
        <v>LOW</v>
      </c>
      <c r="T185" s="1" t="str">
        <f t="shared" si="17"/>
        <v>Low</v>
      </c>
    </row>
    <row r="186" spans="1:20" x14ac:dyDescent="0.35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  <c r="O186" s="1">
        <f t="shared" si="13"/>
        <v>17509.7</v>
      </c>
      <c r="P186" s="1">
        <f t="shared" si="14"/>
        <v>3501.94</v>
      </c>
      <c r="Q186" s="1">
        <f t="shared" si="15"/>
        <v>14007.76</v>
      </c>
      <c r="R186" s="1" t="str">
        <f t="shared" si="16"/>
        <v>HIGH</v>
      </c>
      <c r="S186" s="1" t="str" cm="1">
        <f t="array" ref="S186">_xlfn.IFS(L186&gt;=8,"HIGH",L186&gt;=5,"MEDIUM",L186&lt;5,"LOW")</f>
        <v>MEDIUM</v>
      </c>
      <c r="T186" s="1" t="str">
        <f t="shared" si="17"/>
        <v>High</v>
      </c>
    </row>
    <row r="187" spans="1:20" x14ac:dyDescent="0.35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  <c r="O187" s="1">
        <f t="shared" si="13"/>
        <v>27652.32</v>
      </c>
      <c r="P187" s="1">
        <f t="shared" si="14"/>
        <v>0</v>
      </c>
      <c r="Q187" s="1">
        <f t="shared" si="15"/>
        <v>27652.32</v>
      </c>
      <c r="R187" s="1" t="str">
        <f t="shared" si="16"/>
        <v>HIGH</v>
      </c>
      <c r="S187" s="1" t="str" cm="1">
        <f t="array" ref="S187">_xlfn.IFS(L187&gt;=8,"HIGH",L187&gt;=5,"MEDIUM",L187&lt;5,"LOW")</f>
        <v>HIGH</v>
      </c>
      <c r="T187" s="1" t="str">
        <f t="shared" si="17"/>
        <v>Low</v>
      </c>
    </row>
    <row r="188" spans="1:20" x14ac:dyDescent="0.35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  <c r="O188" s="1">
        <f t="shared" si="13"/>
        <v>6877.92</v>
      </c>
      <c r="P188" s="1">
        <f t="shared" si="14"/>
        <v>687.79199999999992</v>
      </c>
      <c r="Q188" s="1">
        <f t="shared" si="15"/>
        <v>6190.1280000000006</v>
      </c>
      <c r="R188" s="1" t="str">
        <f t="shared" si="16"/>
        <v>LOW</v>
      </c>
      <c r="S188" s="1" t="str" cm="1">
        <f t="array" ref="S188">_xlfn.IFS(L188&gt;=8,"HIGH",L188&gt;=5,"MEDIUM",L188&lt;5,"LOW")</f>
        <v>MEDIUM</v>
      </c>
      <c r="T188" s="1" t="str">
        <f t="shared" si="17"/>
        <v>Low</v>
      </c>
    </row>
    <row r="189" spans="1:20" x14ac:dyDescent="0.35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  <c r="O189" s="1">
        <f t="shared" si="13"/>
        <v>7624.56</v>
      </c>
      <c r="P189" s="1">
        <f t="shared" si="14"/>
        <v>1524.912</v>
      </c>
      <c r="Q189" s="1">
        <f t="shared" si="15"/>
        <v>6099.6480000000001</v>
      </c>
      <c r="R189" s="1" t="str">
        <f t="shared" si="16"/>
        <v>LOW</v>
      </c>
      <c r="S189" s="1" t="str" cm="1">
        <f t="array" ref="S189">_xlfn.IFS(L189&gt;=8,"HIGH",L189&gt;=5,"MEDIUM",L189&lt;5,"LOW")</f>
        <v>HIGH</v>
      </c>
      <c r="T189" s="1" t="str">
        <f t="shared" si="17"/>
        <v>Medium</v>
      </c>
    </row>
    <row r="190" spans="1:20" x14ac:dyDescent="0.35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  <c r="O190" s="1">
        <f t="shared" si="13"/>
        <v>10328.879999999999</v>
      </c>
      <c r="P190" s="1">
        <f t="shared" si="14"/>
        <v>1549.3319999999999</v>
      </c>
      <c r="Q190" s="1">
        <f t="shared" si="15"/>
        <v>8779.5479999999989</v>
      </c>
      <c r="R190" s="1" t="str">
        <f t="shared" si="16"/>
        <v>LOW</v>
      </c>
      <c r="S190" s="1" t="str" cm="1">
        <f t="array" ref="S190">_xlfn.IFS(L190&gt;=8,"HIGH",L190&gt;=5,"MEDIUM",L190&lt;5,"LOW")</f>
        <v>HIGH</v>
      </c>
      <c r="T190" s="1" t="str">
        <f t="shared" si="17"/>
        <v>Medium</v>
      </c>
    </row>
    <row r="191" spans="1:20" x14ac:dyDescent="0.35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  <c r="O191" s="1">
        <f t="shared" si="13"/>
        <v>29252.720000000001</v>
      </c>
      <c r="P191" s="1">
        <f t="shared" si="14"/>
        <v>4387.9080000000004</v>
      </c>
      <c r="Q191" s="1">
        <f t="shared" si="15"/>
        <v>24864.812000000002</v>
      </c>
      <c r="R191" s="1" t="str">
        <f t="shared" si="16"/>
        <v>HIGH</v>
      </c>
      <c r="S191" s="1" t="str" cm="1">
        <f t="array" ref="S191">_xlfn.IFS(L191&gt;=8,"HIGH",L191&gt;=5,"MEDIUM",L191&lt;5,"LOW")</f>
        <v>HIGH</v>
      </c>
      <c r="T191" s="1" t="str">
        <f t="shared" si="17"/>
        <v>High</v>
      </c>
    </row>
    <row r="192" spans="1:20" x14ac:dyDescent="0.35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  <c r="O192" s="1">
        <f t="shared" si="13"/>
        <v>15802.850000000002</v>
      </c>
      <c r="P192" s="1">
        <f t="shared" si="14"/>
        <v>1580.2850000000003</v>
      </c>
      <c r="Q192" s="1">
        <f t="shared" si="15"/>
        <v>14222.565000000002</v>
      </c>
      <c r="R192" s="1" t="str">
        <f t="shared" si="16"/>
        <v>HIGH</v>
      </c>
      <c r="S192" s="1" t="str" cm="1">
        <f t="array" ref="S192">_xlfn.IFS(L192&gt;=8,"HIGH",L192&gt;=5,"MEDIUM",L192&lt;5,"LOW")</f>
        <v>MEDIUM</v>
      </c>
      <c r="T192" s="1" t="str">
        <f t="shared" si="17"/>
        <v>Medium</v>
      </c>
    </row>
    <row r="193" spans="1:20" x14ac:dyDescent="0.35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  <c r="O193" s="1">
        <f t="shared" si="13"/>
        <v>2975.54</v>
      </c>
      <c r="P193" s="1">
        <f t="shared" si="14"/>
        <v>446.33099999999996</v>
      </c>
      <c r="Q193" s="1">
        <f t="shared" si="15"/>
        <v>2529.2089999999998</v>
      </c>
      <c r="R193" s="1" t="str">
        <f t="shared" si="16"/>
        <v>LOW</v>
      </c>
      <c r="S193" s="1" t="str" cm="1">
        <f t="array" ref="S193">_xlfn.IFS(L193&gt;=8,"HIGH",L193&gt;=5,"MEDIUM",L193&lt;5,"LOW")</f>
        <v>LOW</v>
      </c>
      <c r="T193" s="1" t="str">
        <f t="shared" si="17"/>
        <v>Low</v>
      </c>
    </row>
    <row r="194" spans="1:20" x14ac:dyDescent="0.35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  <c r="O194" s="1">
        <f t="shared" si="13"/>
        <v>6878.84</v>
      </c>
      <c r="P194" s="1">
        <f t="shared" si="14"/>
        <v>1031.826</v>
      </c>
      <c r="Q194" s="1">
        <f t="shared" si="15"/>
        <v>5847.0140000000001</v>
      </c>
      <c r="R194" s="1" t="str">
        <f t="shared" si="16"/>
        <v>LOW</v>
      </c>
      <c r="S194" s="1" t="str" cm="1">
        <f t="array" ref="S194">_xlfn.IFS(L194&gt;=8,"HIGH",L194&gt;=5,"MEDIUM",L194&lt;5,"LOW")</f>
        <v>LOW</v>
      </c>
      <c r="T194" s="1" t="str">
        <f t="shared" si="17"/>
        <v>Low</v>
      </c>
    </row>
    <row r="195" spans="1:20" x14ac:dyDescent="0.35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  <c r="O195" s="1">
        <f t="shared" ref="O195:O258" si="18">L195*M195</f>
        <v>3167.1499999999996</v>
      </c>
      <c r="P195" s="1">
        <f t="shared" ref="P195:P258" si="19">O195*N195/100</f>
        <v>633.42999999999995</v>
      </c>
      <c r="Q195" s="1">
        <f t="shared" ref="Q195:Q258" si="20">O195-P195</f>
        <v>2533.7199999999998</v>
      </c>
      <c r="R195" s="1" t="str">
        <f t="shared" ref="R195:R258" si="21">IF(Q195&gt;=10000, "HIGH", "LOW")</f>
        <v>LOW</v>
      </c>
      <c r="S195" s="1" t="str" cm="1">
        <f t="array" ref="S195">_xlfn.IFS(L195&gt;=8,"HIGH",L195&gt;=5,"MEDIUM",L195&lt;5,"LOW")</f>
        <v>MEDIUM</v>
      </c>
      <c r="T195" s="1" t="str">
        <f t="shared" ref="T195:T258" si="22">IF(P195&gt;=3000,"High",IF(P195&gt;=1500,"Medium","Low"))</f>
        <v>Low</v>
      </c>
    </row>
    <row r="196" spans="1:20" x14ac:dyDescent="0.35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66</v>
      </c>
      <c r="K196" s="1" t="s">
        <v>20</v>
      </c>
      <c r="L196" s="1">
        <v>6</v>
      </c>
      <c r="M196" s="1">
        <v>809.49</v>
      </c>
      <c r="N196" s="1">
        <v>5</v>
      </c>
      <c r="O196" s="1">
        <f t="shared" si="18"/>
        <v>4856.9400000000005</v>
      </c>
      <c r="P196" s="1">
        <f t="shared" si="19"/>
        <v>242.84700000000004</v>
      </c>
      <c r="Q196" s="1">
        <f t="shared" si="20"/>
        <v>4614.0930000000008</v>
      </c>
      <c r="R196" s="1" t="str">
        <f t="shared" si="21"/>
        <v>LOW</v>
      </c>
      <c r="S196" s="1" t="str" cm="1">
        <f t="array" ref="S196">_xlfn.IFS(L196&gt;=8,"HIGH",L196&gt;=5,"MEDIUM",L196&lt;5,"LOW")</f>
        <v>MEDIUM</v>
      </c>
      <c r="T196" s="1" t="str">
        <f t="shared" si="22"/>
        <v>Low</v>
      </c>
    </row>
    <row r="197" spans="1:20" x14ac:dyDescent="0.35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  <c r="O197" s="1">
        <f t="shared" si="18"/>
        <v>13341.28</v>
      </c>
      <c r="P197" s="1">
        <f t="shared" si="19"/>
        <v>2668.2560000000003</v>
      </c>
      <c r="Q197" s="1">
        <f t="shared" si="20"/>
        <v>10673.024000000001</v>
      </c>
      <c r="R197" s="1" t="str">
        <f t="shared" si="21"/>
        <v>HIGH</v>
      </c>
      <c r="S197" s="1" t="str" cm="1">
        <f t="array" ref="S197">_xlfn.IFS(L197&gt;=8,"HIGH",L197&gt;=5,"MEDIUM",L197&lt;5,"LOW")</f>
        <v>LOW</v>
      </c>
      <c r="T197" s="1" t="str">
        <f t="shared" si="22"/>
        <v>Medium</v>
      </c>
    </row>
    <row r="198" spans="1:20" x14ac:dyDescent="0.35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68</v>
      </c>
      <c r="K198" s="1" t="s">
        <v>44</v>
      </c>
      <c r="L198" s="1">
        <v>2</v>
      </c>
      <c r="M198" s="1">
        <v>2401.63</v>
      </c>
      <c r="N198" s="1">
        <v>0</v>
      </c>
      <c r="O198" s="1">
        <f t="shared" si="18"/>
        <v>4803.26</v>
      </c>
      <c r="P198" s="1">
        <f t="shared" si="19"/>
        <v>0</v>
      </c>
      <c r="Q198" s="1">
        <f t="shared" si="20"/>
        <v>4803.26</v>
      </c>
      <c r="R198" s="1" t="str">
        <f t="shared" si="21"/>
        <v>LOW</v>
      </c>
      <c r="S198" s="1" t="str" cm="1">
        <f t="array" ref="S198">_xlfn.IFS(L198&gt;=8,"HIGH",L198&gt;=5,"MEDIUM",L198&lt;5,"LOW")</f>
        <v>LOW</v>
      </c>
      <c r="T198" s="1" t="str">
        <f t="shared" si="22"/>
        <v>Low</v>
      </c>
    </row>
    <row r="199" spans="1:20" x14ac:dyDescent="0.35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  <c r="O199" s="1">
        <f t="shared" si="18"/>
        <v>25927.84</v>
      </c>
      <c r="P199" s="1">
        <f t="shared" si="19"/>
        <v>0</v>
      </c>
      <c r="Q199" s="1">
        <f t="shared" si="20"/>
        <v>25927.84</v>
      </c>
      <c r="R199" s="1" t="str">
        <f t="shared" si="21"/>
        <v>HIGH</v>
      </c>
      <c r="S199" s="1" t="str" cm="1">
        <f t="array" ref="S199">_xlfn.IFS(L199&gt;=8,"HIGH",L199&gt;=5,"MEDIUM",L199&lt;5,"LOW")</f>
        <v>HIGH</v>
      </c>
      <c r="T199" s="1" t="str">
        <f t="shared" si="22"/>
        <v>Low</v>
      </c>
    </row>
    <row r="200" spans="1:20" x14ac:dyDescent="0.35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  <c r="O200" s="1">
        <f t="shared" si="18"/>
        <v>27354.11</v>
      </c>
      <c r="P200" s="1">
        <f t="shared" si="19"/>
        <v>2735.4109999999996</v>
      </c>
      <c r="Q200" s="1">
        <f t="shared" si="20"/>
        <v>24618.699000000001</v>
      </c>
      <c r="R200" s="1" t="str">
        <f t="shared" si="21"/>
        <v>HIGH</v>
      </c>
      <c r="S200" s="1" t="str" cm="1">
        <f t="array" ref="S200">_xlfn.IFS(L200&gt;=8,"HIGH",L200&gt;=5,"MEDIUM",L200&lt;5,"LOW")</f>
        <v>MEDIUM</v>
      </c>
      <c r="T200" s="1" t="str">
        <f t="shared" si="22"/>
        <v>Medium</v>
      </c>
    </row>
    <row r="201" spans="1:20" x14ac:dyDescent="0.35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  <c r="O201" s="1">
        <f t="shared" si="18"/>
        <v>8865.2999999999993</v>
      </c>
      <c r="P201" s="1">
        <f t="shared" si="19"/>
        <v>886.53</v>
      </c>
      <c r="Q201" s="1">
        <f t="shared" si="20"/>
        <v>7978.7699999999995</v>
      </c>
      <c r="R201" s="1" t="str">
        <f t="shared" si="21"/>
        <v>LOW</v>
      </c>
      <c r="S201" s="1" t="str" cm="1">
        <f t="array" ref="S201">_xlfn.IFS(L201&gt;=8,"HIGH",L201&gt;=5,"MEDIUM",L201&lt;5,"LOW")</f>
        <v>MEDIUM</v>
      </c>
      <c r="T201" s="1" t="str">
        <f t="shared" si="22"/>
        <v>Low</v>
      </c>
    </row>
    <row r="202" spans="1:20" x14ac:dyDescent="0.35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  <c r="O202" s="1">
        <f t="shared" si="18"/>
        <v>3100.65</v>
      </c>
      <c r="P202" s="1">
        <f t="shared" si="19"/>
        <v>155.0325</v>
      </c>
      <c r="Q202" s="1">
        <f t="shared" si="20"/>
        <v>2945.6175000000003</v>
      </c>
      <c r="R202" s="1" t="str">
        <f t="shared" si="21"/>
        <v>LOW</v>
      </c>
      <c r="S202" s="1" t="str" cm="1">
        <f t="array" ref="S202">_xlfn.IFS(L202&gt;=8,"HIGH",L202&gt;=5,"MEDIUM",L202&lt;5,"LOW")</f>
        <v>MEDIUM</v>
      </c>
      <c r="T202" s="1" t="str">
        <f t="shared" si="22"/>
        <v>Low</v>
      </c>
    </row>
    <row r="203" spans="1:20" x14ac:dyDescent="0.35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67</v>
      </c>
      <c r="K203" s="1" t="s">
        <v>32</v>
      </c>
      <c r="L203" s="1">
        <v>8</v>
      </c>
      <c r="M203" s="1">
        <v>3519.2</v>
      </c>
      <c r="N203" s="1">
        <v>0</v>
      </c>
      <c r="O203" s="1">
        <f t="shared" si="18"/>
        <v>28153.599999999999</v>
      </c>
      <c r="P203" s="1">
        <f t="shared" si="19"/>
        <v>0</v>
      </c>
      <c r="Q203" s="1">
        <f t="shared" si="20"/>
        <v>28153.599999999999</v>
      </c>
      <c r="R203" s="1" t="str">
        <f t="shared" si="21"/>
        <v>HIGH</v>
      </c>
      <c r="S203" s="1" t="str" cm="1">
        <f t="array" ref="S203">_xlfn.IFS(L203&gt;=8,"HIGH",L203&gt;=5,"MEDIUM",L203&lt;5,"LOW")</f>
        <v>HIGH</v>
      </c>
      <c r="T203" s="1" t="str">
        <f t="shared" si="22"/>
        <v>Low</v>
      </c>
    </row>
    <row r="204" spans="1:20" x14ac:dyDescent="0.35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  <c r="O204" s="1">
        <f t="shared" si="18"/>
        <v>2250.4899999999998</v>
      </c>
      <c r="P204" s="1">
        <f t="shared" si="19"/>
        <v>337.57349999999997</v>
      </c>
      <c r="Q204" s="1">
        <f t="shared" si="20"/>
        <v>1912.9164999999998</v>
      </c>
      <c r="R204" s="1" t="str">
        <f t="shared" si="21"/>
        <v>LOW</v>
      </c>
      <c r="S204" s="1" t="str" cm="1">
        <f t="array" ref="S204">_xlfn.IFS(L204&gt;=8,"HIGH",L204&gt;=5,"MEDIUM",L204&lt;5,"LOW")</f>
        <v>LOW</v>
      </c>
      <c r="T204" s="1" t="str">
        <f t="shared" si="22"/>
        <v>Low</v>
      </c>
    </row>
    <row r="205" spans="1:20" x14ac:dyDescent="0.35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  <c r="O205" s="1">
        <f t="shared" si="18"/>
        <v>556.53</v>
      </c>
      <c r="P205" s="1">
        <f t="shared" si="19"/>
        <v>27.826499999999996</v>
      </c>
      <c r="Q205" s="1">
        <f t="shared" si="20"/>
        <v>528.70349999999996</v>
      </c>
      <c r="R205" s="1" t="str">
        <f t="shared" si="21"/>
        <v>LOW</v>
      </c>
      <c r="S205" s="1" t="str" cm="1">
        <f t="array" ref="S205">_xlfn.IFS(L205&gt;=8,"HIGH",L205&gt;=5,"MEDIUM",L205&lt;5,"LOW")</f>
        <v>LOW</v>
      </c>
      <c r="T205" s="1" t="str">
        <f t="shared" si="22"/>
        <v>Low</v>
      </c>
    </row>
    <row r="206" spans="1:20" x14ac:dyDescent="0.35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  <c r="O206" s="1">
        <f t="shared" si="18"/>
        <v>2270.66</v>
      </c>
      <c r="P206" s="1">
        <f t="shared" si="19"/>
        <v>227.06599999999997</v>
      </c>
      <c r="Q206" s="1">
        <f t="shared" si="20"/>
        <v>2043.5939999999998</v>
      </c>
      <c r="R206" s="1" t="str">
        <f t="shared" si="21"/>
        <v>LOW</v>
      </c>
      <c r="S206" s="1" t="str" cm="1">
        <f t="array" ref="S206">_xlfn.IFS(L206&gt;=8,"HIGH",L206&gt;=5,"MEDIUM",L206&lt;5,"LOW")</f>
        <v>MEDIUM</v>
      </c>
      <c r="T206" s="1" t="str">
        <f t="shared" si="22"/>
        <v>Low</v>
      </c>
    </row>
    <row r="207" spans="1:20" x14ac:dyDescent="0.35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  <c r="O207" s="1">
        <f t="shared" si="18"/>
        <v>24093.81</v>
      </c>
      <c r="P207" s="1">
        <f t="shared" si="19"/>
        <v>2409.3809999999999</v>
      </c>
      <c r="Q207" s="1">
        <f t="shared" si="20"/>
        <v>21684.429</v>
      </c>
      <c r="R207" s="1" t="str">
        <f t="shared" si="21"/>
        <v>HIGH</v>
      </c>
      <c r="S207" s="1" t="str" cm="1">
        <f t="array" ref="S207">_xlfn.IFS(L207&gt;=8,"HIGH",L207&gt;=5,"MEDIUM",L207&lt;5,"LOW")</f>
        <v>HIGH</v>
      </c>
      <c r="T207" s="1" t="str">
        <f t="shared" si="22"/>
        <v>Medium</v>
      </c>
    </row>
    <row r="208" spans="1:20" x14ac:dyDescent="0.35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  <c r="O208" s="1">
        <f t="shared" si="18"/>
        <v>2276.16</v>
      </c>
      <c r="P208" s="1">
        <f t="shared" si="19"/>
        <v>341.42399999999992</v>
      </c>
      <c r="Q208" s="1">
        <f t="shared" si="20"/>
        <v>1934.7359999999999</v>
      </c>
      <c r="R208" s="1" t="str">
        <f t="shared" si="21"/>
        <v>LOW</v>
      </c>
      <c r="S208" s="1" t="str" cm="1">
        <f t="array" ref="S208">_xlfn.IFS(L208&gt;=8,"HIGH",L208&gt;=5,"MEDIUM",L208&lt;5,"LOW")</f>
        <v>HIGH</v>
      </c>
      <c r="T208" s="1" t="str">
        <f t="shared" si="22"/>
        <v>Low</v>
      </c>
    </row>
    <row r="209" spans="1:20" x14ac:dyDescent="0.35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  <c r="O209" s="1">
        <f t="shared" si="18"/>
        <v>7921.12</v>
      </c>
      <c r="P209" s="1">
        <f t="shared" si="19"/>
        <v>792.11199999999997</v>
      </c>
      <c r="Q209" s="1">
        <f t="shared" si="20"/>
        <v>7129.0079999999998</v>
      </c>
      <c r="R209" s="1" t="str">
        <f t="shared" si="21"/>
        <v>LOW</v>
      </c>
      <c r="S209" s="1" t="str" cm="1">
        <f t="array" ref="S209">_xlfn.IFS(L209&gt;=8,"HIGH",L209&gt;=5,"MEDIUM",L209&lt;5,"LOW")</f>
        <v>LOW</v>
      </c>
      <c r="T209" s="1" t="str">
        <f t="shared" si="22"/>
        <v>Low</v>
      </c>
    </row>
    <row r="210" spans="1:20" x14ac:dyDescent="0.35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66</v>
      </c>
      <c r="K210" s="1" t="s">
        <v>44</v>
      </c>
      <c r="L210" s="1">
        <v>9</v>
      </c>
      <c r="M210" s="1">
        <v>265.58</v>
      </c>
      <c r="N210" s="1">
        <v>10</v>
      </c>
      <c r="O210" s="1">
        <f t="shared" si="18"/>
        <v>2390.2199999999998</v>
      </c>
      <c r="P210" s="1">
        <f t="shared" si="19"/>
        <v>239.02199999999996</v>
      </c>
      <c r="Q210" s="1">
        <f t="shared" si="20"/>
        <v>2151.1979999999999</v>
      </c>
      <c r="R210" s="1" t="str">
        <f t="shared" si="21"/>
        <v>LOW</v>
      </c>
      <c r="S210" s="1" t="str" cm="1">
        <f t="array" ref="S210">_xlfn.IFS(L210&gt;=8,"HIGH",L210&gt;=5,"MEDIUM",L210&lt;5,"LOW")</f>
        <v>HIGH</v>
      </c>
      <c r="T210" s="1" t="str">
        <f t="shared" si="22"/>
        <v>Low</v>
      </c>
    </row>
    <row r="211" spans="1:20" x14ac:dyDescent="0.35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65</v>
      </c>
      <c r="K211" s="1" t="s">
        <v>32</v>
      </c>
      <c r="L211" s="1">
        <v>6</v>
      </c>
      <c r="M211" s="1">
        <v>1861.43</v>
      </c>
      <c r="N211" s="1">
        <v>0</v>
      </c>
      <c r="O211" s="1">
        <f t="shared" si="18"/>
        <v>11168.58</v>
      </c>
      <c r="P211" s="1">
        <f t="shared" si="19"/>
        <v>0</v>
      </c>
      <c r="Q211" s="1">
        <f t="shared" si="20"/>
        <v>11168.58</v>
      </c>
      <c r="R211" s="1" t="str">
        <f t="shared" si="21"/>
        <v>HIGH</v>
      </c>
      <c r="S211" s="1" t="str" cm="1">
        <f t="array" ref="S211">_xlfn.IFS(L211&gt;=8,"HIGH",L211&gt;=5,"MEDIUM",L211&lt;5,"LOW")</f>
        <v>MEDIUM</v>
      </c>
      <c r="T211" s="1" t="str">
        <f t="shared" si="22"/>
        <v>Low</v>
      </c>
    </row>
    <row r="212" spans="1:20" x14ac:dyDescent="0.35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  <c r="O212" s="1">
        <f t="shared" si="18"/>
        <v>1203.06</v>
      </c>
      <c r="P212" s="1">
        <f t="shared" si="19"/>
        <v>240.61199999999997</v>
      </c>
      <c r="Q212" s="1">
        <f t="shared" si="20"/>
        <v>962.44799999999998</v>
      </c>
      <c r="R212" s="1" t="str">
        <f t="shared" si="21"/>
        <v>LOW</v>
      </c>
      <c r="S212" s="1" t="str" cm="1">
        <f t="array" ref="S212">_xlfn.IFS(L212&gt;=8,"HIGH",L212&gt;=5,"MEDIUM",L212&lt;5,"LOW")</f>
        <v>LOW</v>
      </c>
      <c r="T212" s="1" t="str">
        <f t="shared" si="22"/>
        <v>Low</v>
      </c>
    </row>
    <row r="213" spans="1:20" x14ac:dyDescent="0.35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  <c r="O213" s="1">
        <f t="shared" si="18"/>
        <v>2402.67</v>
      </c>
      <c r="P213" s="1">
        <f t="shared" si="19"/>
        <v>0</v>
      </c>
      <c r="Q213" s="1">
        <f t="shared" si="20"/>
        <v>2402.67</v>
      </c>
      <c r="R213" s="1" t="str">
        <f t="shared" si="21"/>
        <v>LOW</v>
      </c>
      <c r="S213" s="1" t="str" cm="1">
        <f t="array" ref="S213">_xlfn.IFS(L213&gt;=8,"HIGH",L213&gt;=5,"MEDIUM",L213&lt;5,"LOW")</f>
        <v>LOW</v>
      </c>
      <c r="T213" s="1" t="str">
        <f t="shared" si="22"/>
        <v>Low</v>
      </c>
    </row>
    <row r="214" spans="1:20" x14ac:dyDescent="0.35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  <c r="O214" s="1">
        <f t="shared" si="18"/>
        <v>12035.6</v>
      </c>
      <c r="P214" s="1">
        <f t="shared" si="19"/>
        <v>2407.12</v>
      </c>
      <c r="Q214" s="1">
        <f t="shared" si="20"/>
        <v>9628.48</v>
      </c>
      <c r="R214" s="1" t="str">
        <f t="shared" si="21"/>
        <v>LOW</v>
      </c>
      <c r="S214" s="1" t="str" cm="1">
        <f t="array" ref="S214">_xlfn.IFS(L214&gt;=8,"HIGH",L214&gt;=5,"MEDIUM",L214&lt;5,"LOW")</f>
        <v>HIGH</v>
      </c>
      <c r="T214" s="1" t="str">
        <f t="shared" si="22"/>
        <v>Medium</v>
      </c>
    </row>
    <row r="215" spans="1:20" x14ac:dyDescent="0.35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  <c r="O215" s="1">
        <f t="shared" si="18"/>
        <v>3082.45</v>
      </c>
      <c r="P215" s="1">
        <f t="shared" si="19"/>
        <v>154.1225</v>
      </c>
      <c r="Q215" s="1">
        <f t="shared" si="20"/>
        <v>2928.3274999999999</v>
      </c>
      <c r="R215" s="1" t="str">
        <f t="shared" si="21"/>
        <v>LOW</v>
      </c>
      <c r="S215" s="1" t="str" cm="1">
        <f t="array" ref="S215">_xlfn.IFS(L215&gt;=8,"HIGH",L215&gt;=5,"MEDIUM",L215&lt;5,"LOW")</f>
        <v>LOW</v>
      </c>
      <c r="T215" s="1" t="str">
        <f t="shared" si="22"/>
        <v>Low</v>
      </c>
    </row>
    <row r="216" spans="1:20" x14ac:dyDescent="0.35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  <c r="O216" s="1">
        <f t="shared" si="18"/>
        <v>14715.89</v>
      </c>
      <c r="P216" s="1">
        <f t="shared" si="19"/>
        <v>2943.1779999999999</v>
      </c>
      <c r="Q216" s="1">
        <f t="shared" si="20"/>
        <v>11772.712</v>
      </c>
      <c r="R216" s="1" t="str">
        <f t="shared" si="21"/>
        <v>HIGH</v>
      </c>
      <c r="S216" s="1" t="str" cm="1">
        <f t="array" ref="S216">_xlfn.IFS(L216&gt;=8,"HIGH",L216&gt;=5,"MEDIUM",L216&lt;5,"LOW")</f>
        <v>MEDIUM</v>
      </c>
      <c r="T216" s="1" t="str">
        <f t="shared" si="22"/>
        <v>Medium</v>
      </c>
    </row>
    <row r="217" spans="1:20" x14ac:dyDescent="0.35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  <c r="O217" s="1">
        <f t="shared" si="18"/>
        <v>18241.440000000002</v>
      </c>
      <c r="P217" s="1">
        <f t="shared" si="19"/>
        <v>3648.2880000000005</v>
      </c>
      <c r="Q217" s="1">
        <f t="shared" si="20"/>
        <v>14593.152000000002</v>
      </c>
      <c r="R217" s="1" t="str">
        <f t="shared" si="21"/>
        <v>HIGH</v>
      </c>
      <c r="S217" s="1" t="str" cm="1">
        <f t="array" ref="S217">_xlfn.IFS(L217&gt;=8,"HIGH",L217&gt;=5,"MEDIUM",L217&lt;5,"LOW")</f>
        <v>MEDIUM</v>
      </c>
      <c r="T217" s="1" t="str">
        <f t="shared" si="22"/>
        <v>High</v>
      </c>
    </row>
    <row r="218" spans="1:20" x14ac:dyDescent="0.35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  <c r="O218" s="1">
        <f t="shared" si="18"/>
        <v>3942.92</v>
      </c>
      <c r="P218" s="1">
        <f t="shared" si="19"/>
        <v>0</v>
      </c>
      <c r="Q218" s="1">
        <f t="shared" si="20"/>
        <v>3942.92</v>
      </c>
      <c r="R218" s="1" t="str">
        <f t="shared" si="21"/>
        <v>LOW</v>
      </c>
      <c r="S218" s="1" t="str" cm="1">
        <f t="array" ref="S218">_xlfn.IFS(L218&gt;=8,"HIGH",L218&gt;=5,"MEDIUM",L218&lt;5,"LOW")</f>
        <v>LOW</v>
      </c>
      <c r="T218" s="1" t="str">
        <f t="shared" si="22"/>
        <v>Low</v>
      </c>
    </row>
    <row r="219" spans="1:20" x14ac:dyDescent="0.35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  <c r="O219" s="1">
        <f t="shared" si="18"/>
        <v>14578.32</v>
      </c>
      <c r="P219" s="1">
        <f t="shared" si="19"/>
        <v>2915.6640000000002</v>
      </c>
      <c r="Q219" s="1">
        <f t="shared" si="20"/>
        <v>11662.655999999999</v>
      </c>
      <c r="R219" s="1" t="str">
        <f t="shared" si="21"/>
        <v>HIGH</v>
      </c>
      <c r="S219" s="1" t="str" cm="1">
        <f t="array" ref="S219">_xlfn.IFS(L219&gt;=8,"HIGH",L219&gt;=5,"MEDIUM",L219&lt;5,"LOW")</f>
        <v>HIGH</v>
      </c>
      <c r="T219" s="1" t="str">
        <f t="shared" si="22"/>
        <v>Medium</v>
      </c>
    </row>
    <row r="220" spans="1:20" x14ac:dyDescent="0.35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  <c r="O220" s="1">
        <f t="shared" si="18"/>
        <v>7475.2</v>
      </c>
      <c r="P220" s="1">
        <f t="shared" si="19"/>
        <v>1495.04</v>
      </c>
      <c r="Q220" s="1">
        <f t="shared" si="20"/>
        <v>5980.16</v>
      </c>
      <c r="R220" s="1" t="str">
        <f t="shared" si="21"/>
        <v>LOW</v>
      </c>
      <c r="S220" s="1" t="str" cm="1">
        <f t="array" ref="S220">_xlfn.IFS(L220&gt;=8,"HIGH",L220&gt;=5,"MEDIUM",L220&lt;5,"LOW")</f>
        <v>LOW</v>
      </c>
      <c r="T220" s="1" t="str">
        <f t="shared" si="22"/>
        <v>Low</v>
      </c>
    </row>
    <row r="221" spans="1:20" x14ac:dyDescent="0.35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  <c r="O221" s="1">
        <f t="shared" si="18"/>
        <v>12661.35</v>
      </c>
      <c r="P221" s="1">
        <f t="shared" si="19"/>
        <v>1899.2025000000001</v>
      </c>
      <c r="Q221" s="1">
        <f t="shared" si="20"/>
        <v>10762.147500000001</v>
      </c>
      <c r="R221" s="1" t="str">
        <f t="shared" si="21"/>
        <v>HIGH</v>
      </c>
      <c r="S221" s="1" t="str" cm="1">
        <f t="array" ref="S221">_xlfn.IFS(L221&gt;=8,"HIGH",L221&gt;=5,"MEDIUM",L221&lt;5,"LOW")</f>
        <v>MEDIUM</v>
      </c>
      <c r="T221" s="1" t="str">
        <f t="shared" si="22"/>
        <v>Medium</v>
      </c>
    </row>
    <row r="222" spans="1:20" x14ac:dyDescent="0.35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  <c r="O222" s="1">
        <f t="shared" si="18"/>
        <v>5423.32</v>
      </c>
      <c r="P222" s="1">
        <f t="shared" si="19"/>
        <v>0</v>
      </c>
      <c r="Q222" s="1">
        <f t="shared" si="20"/>
        <v>5423.32</v>
      </c>
      <c r="R222" s="1" t="str">
        <f t="shared" si="21"/>
        <v>LOW</v>
      </c>
      <c r="S222" s="1" t="str" cm="1">
        <f t="array" ref="S222">_xlfn.IFS(L222&gt;=8,"HIGH",L222&gt;=5,"MEDIUM",L222&lt;5,"LOW")</f>
        <v>LOW</v>
      </c>
      <c r="T222" s="1" t="str">
        <f t="shared" si="22"/>
        <v>Low</v>
      </c>
    </row>
    <row r="223" spans="1:20" x14ac:dyDescent="0.35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  <c r="O223" s="1">
        <f t="shared" si="18"/>
        <v>721.8</v>
      </c>
      <c r="P223" s="1">
        <f t="shared" si="19"/>
        <v>36.090000000000003</v>
      </c>
      <c r="Q223" s="1">
        <f t="shared" si="20"/>
        <v>685.70999999999992</v>
      </c>
      <c r="R223" s="1" t="str">
        <f t="shared" si="21"/>
        <v>LOW</v>
      </c>
      <c r="S223" s="1" t="str" cm="1">
        <f t="array" ref="S223">_xlfn.IFS(L223&gt;=8,"HIGH",L223&gt;=5,"MEDIUM",L223&lt;5,"LOW")</f>
        <v>LOW</v>
      </c>
      <c r="T223" s="1" t="str">
        <f t="shared" si="22"/>
        <v>Low</v>
      </c>
    </row>
    <row r="224" spans="1:20" x14ac:dyDescent="0.35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  <c r="O224" s="1">
        <f t="shared" si="18"/>
        <v>1941.96</v>
      </c>
      <c r="P224" s="1">
        <f t="shared" si="19"/>
        <v>97.097999999999999</v>
      </c>
      <c r="Q224" s="1">
        <f t="shared" si="20"/>
        <v>1844.8620000000001</v>
      </c>
      <c r="R224" s="1" t="str">
        <f t="shared" si="21"/>
        <v>LOW</v>
      </c>
      <c r="S224" s="1" t="str" cm="1">
        <f t="array" ref="S224">_xlfn.IFS(L224&gt;=8,"HIGH",L224&gt;=5,"MEDIUM",L224&lt;5,"LOW")</f>
        <v>LOW</v>
      </c>
      <c r="T224" s="1" t="str">
        <f t="shared" si="22"/>
        <v>Low</v>
      </c>
    </row>
    <row r="225" spans="1:20" x14ac:dyDescent="0.35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  <c r="O225" s="1">
        <f t="shared" si="18"/>
        <v>1066.5</v>
      </c>
      <c r="P225" s="1">
        <f t="shared" si="19"/>
        <v>0</v>
      </c>
      <c r="Q225" s="1">
        <f t="shared" si="20"/>
        <v>1066.5</v>
      </c>
      <c r="R225" s="1" t="str">
        <f t="shared" si="21"/>
        <v>LOW</v>
      </c>
      <c r="S225" s="1" t="str" cm="1">
        <f t="array" ref="S225">_xlfn.IFS(L225&gt;=8,"HIGH",L225&gt;=5,"MEDIUM",L225&lt;5,"LOW")</f>
        <v>LOW</v>
      </c>
      <c r="T225" s="1" t="str">
        <f t="shared" si="22"/>
        <v>Low</v>
      </c>
    </row>
    <row r="226" spans="1:20" x14ac:dyDescent="0.35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  <c r="O226" s="1">
        <f t="shared" si="18"/>
        <v>17306.03</v>
      </c>
      <c r="P226" s="1">
        <f t="shared" si="19"/>
        <v>1730.6029999999998</v>
      </c>
      <c r="Q226" s="1">
        <f t="shared" si="20"/>
        <v>15575.427</v>
      </c>
      <c r="R226" s="1" t="str">
        <f t="shared" si="21"/>
        <v>HIGH</v>
      </c>
      <c r="S226" s="1" t="str" cm="1">
        <f t="array" ref="S226">_xlfn.IFS(L226&gt;=8,"HIGH",L226&gt;=5,"MEDIUM",L226&lt;5,"LOW")</f>
        <v>MEDIUM</v>
      </c>
      <c r="T226" s="1" t="str">
        <f t="shared" si="22"/>
        <v>Medium</v>
      </c>
    </row>
    <row r="227" spans="1:20" x14ac:dyDescent="0.35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  <c r="O227" s="1">
        <f t="shared" si="18"/>
        <v>15161.02</v>
      </c>
      <c r="P227" s="1">
        <f t="shared" si="19"/>
        <v>0</v>
      </c>
      <c r="Q227" s="1">
        <f t="shared" si="20"/>
        <v>15161.02</v>
      </c>
      <c r="R227" s="1" t="str">
        <f t="shared" si="21"/>
        <v>HIGH</v>
      </c>
      <c r="S227" s="1" t="str" cm="1">
        <f t="array" ref="S227">_xlfn.IFS(L227&gt;=8,"HIGH",L227&gt;=5,"MEDIUM",L227&lt;5,"LOW")</f>
        <v>MEDIUM</v>
      </c>
      <c r="T227" s="1" t="str">
        <f t="shared" si="22"/>
        <v>Low</v>
      </c>
    </row>
    <row r="228" spans="1:20" x14ac:dyDescent="0.35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  <c r="O228" s="1">
        <f t="shared" si="18"/>
        <v>4505.2</v>
      </c>
      <c r="P228" s="1">
        <f t="shared" si="19"/>
        <v>901.04</v>
      </c>
      <c r="Q228" s="1">
        <f t="shared" si="20"/>
        <v>3604.16</v>
      </c>
      <c r="R228" s="1" t="str">
        <f t="shared" si="21"/>
        <v>LOW</v>
      </c>
      <c r="S228" s="1" t="str" cm="1">
        <f t="array" ref="S228">_xlfn.IFS(L228&gt;=8,"HIGH",L228&gt;=5,"MEDIUM",L228&lt;5,"LOW")</f>
        <v>LOW</v>
      </c>
      <c r="T228" s="1" t="str">
        <f t="shared" si="22"/>
        <v>Low</v>
      </c>
    </row>
    <row r="229" spans="1:20" x14ac:dyDescent="0.35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  <c r="O229" s="1">
        <f t="shared" si="18"/>
        <v>16360.72</v>
      </c>
      <c r="P229" s="1">
        <f t="shared" si="19"/>
        <v>1636.0719999999999</v>
      </c>
      <c r="Q229" s="1">
        <f t="shared" si="20"/>
        <v>14724.647999999999</v>
      </c>
      <c r="R229" s="1" t="str">
        <f t="shared" si="21"/>
        <v>HIGH</v>
      </c>
      <c r="S229" s="1" t="str" cm="1">
        <f t="array" ref="S229">_xlfn.IFS(L229&gt;=8,"HIGH",L229&gt;=5,"MEDIUM",L229&lt;5,"LOW")</f>
        <v>HIGH</v>
      </c>
      <c r="T229" s="1" t="str">
        <f t="shared" si="22"/>
        <v>Medium</v>
      </c>
    </row>
    <row r="230" spans="1:20" x14ac:dyDescent="0.35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  <c r="O230" s="1">
        <f t="shared" si="18"/>
        <v>900.78</v>
      </c>
      <c r="P230" s="1">
        <f t="shared" si="19"/>
        <v>45.038999999999994</v>
      </c>
      <c r="Q230" s="1">
        <f t="shared" si="20"/>
        <v>855.74099999999999</v>
      </c>
      <c r="R230" s="1" t="str">
        <f t="shared" si="21"/>
        <v>LOW</v>
      </c>
      <c r="S230" s="1" t="str" cm="1">
        <f t="array" ref="S230">_xlfn.IFS(L230&gt;=8,"HIGH",L230&gt;=5,"MEDIUM",L230&lt;5,"LOW")</f>
        <v>LOW</v>
      </c>
      <c r="T230" s="1" t="str">
        <f t="shared" si="22"/>
        <v>Low</v>
      </c>
    </row>
    <row r="231" spans="1:20" x14ac:dyDescent="0.35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  <c r="O231" s="1">
        <f t="shared" si="18"/>
        <v>2660.56</v>
      </c>
      <c r="P231" s="1">
        <f t="shared" si="19"/>
        <v>266.05599999999998</v>
      </c>
      <c r="Q231" s="1">
        <f t="shared" si="20"/>
        <v>2394.5039999999999</v>
      </c>
      <c r="R231" s="1" t="str">
        <f t="shared" si="21"/>
        <v>LOW</v>
      </c>
      <c r="S231" s="1" t="str" cm="1">
        <f t="array" ref="S231">_xlfn.IFS(L231&gt;=8,"HIGH",L231&gt;=5,"MEDIUM",L231&lt;5,"LOW")</f>
        <v>LOW</v>
      </c>
      <c r="T231" s="1" t="str">
        <f t="shared" si="22"/>
        <v>Low</v>
      </c>
    </row>
    <row r="232" spans="1:20" x14ac:dyDescent="0.35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  <c r="O232" s="1">
        <f t="shared" si="18"/>
        <v>15782.7</v>
      </c>
      <c r="P232" s="1">
        <f t="shared" si="19"/>
        <v>3156.54</v>
      </c>
      <c r="Q232" s="1">
        <f t="shared" si="20"/>
        <v>12626.16</v>
      </c>
      <c r="R232" s="1" t="str">
        <f t="shared" si="21"/>
        <v>HIGH</v>
      </c>
      <c r="S232" s="1" t="str" cm="1">
        <f t="array" ref="S232">_xlfn.IFS(L232&gt;=8,"HIGH",L232&gt;=5,"MEDIUM",L232&lt;5,"LOW")</f>
        <v>MEDIUM</v>
      </c>
      <c r="T232" s="1" t="str">
        <f t="shared" si="22"/>
        <v>High</v>
      </c>
    </row>
    <row r="233" spans="1:20" x14ac:dyDescent="0.35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  <c r="O233" s="1">
        <f t="shared" si="18"/>
        <v>19182.78</v>
      </c>
      <c r="P233" s="1">
        <f t="shared" si="19"/>
        <v>1918.2779999999998</v>
      </c>
      <c r="Q233" s="1">
        <f t="shared" si="20"/>
        <v>17264.502</v>
      </c>
      <c r="R233" s="1" t="str">
        <f t="shared" si="21"/>
        <v>HIGH</v>
      </c>
      <c r="S233" s="1" t="str" cm="1">
        <f t="array" ref="S233">_xlfn.IFS(L233&gt;=8,"HIGH",L233&gt;=5,"MEDIUM",L233&lt;5,"LOW")</f>
        <v>MEDIUM</v>
      </c>
      <c r="T233" s="1" t="str">
        <f t="shared" si="22"/>
        <v>Medium</v>
      </c>
    </row>
    <row r="234" spans="1:20" x14ac:dyDescent="0.35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65</v>
      </c>
      <c r="K234" s="1" t="s">
        <v>46</v>
      </c>
      <c r="L234" s="1">
        <v>3</v>
      </c>
      <c r="M234" s="1">
        <v>2469.5100000000002</v>
      </c>
      <c r="N234" s="1">
        <v>0</v>
      </c>
      <c r="O234" s="1">
        <f t="shared" si="18"/>
        <v>7408.5300000000007</v>
      </c>
      <c r="P234" s="1">
        <f t="shared" si="19"/>
        <v>0</v>
      </c>
      <c r="Q234" s="1">
        <f t="shared" si="20"/>
        <v>7408.5300000000007</v>
      </c>
      <c r="R234" s="1" t="str">
        <f t="shared" si="21"/>
        <v>LOW</v>
      </c>
      <c r="S234" s="1" t="str" cm="1">
        <f t="array" ref="S234">_xlfn.IFS(L234&gt;=8,"HIGH",L234&gt;=5,"MEDIUM",L234&lt;5,"LOW")</f>
        <v>LOW</v>
      </c>
      <c r="T234" s="1" t="str">
        <f t="shared" si="22"/>
        <v>Low</v>
      </c>
    </row>
    <row r="235" spans="1:20" x14ac:dyDescent="0.35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  <c r="O235" s="1">
        <f t="shared" si="18"/>
        <v>2309.2799999999997</v>
      </c>
      <c r="P235" s="1">
        <f t="shared" si="19"/>
        <v>115.46399999999998</v>
      </c>
      <c r="Q235" s="1">
        <f t="shared" si="20"/>
        <v>2193.8159999999998</v>
      </c>
      <c r="R235" s="1" t="str">
        <f t="shared" si="21"/>
        <v>LOW</v>
      </c>
      <c r="S235" s="1" t="str" cm="1">
        <f t="array" ref="S235">_xlfn.IFS(L235&gt;=8,"HIGH",L235&gt;=5,"MEDIUM",L235&lt;5,"LOW")</f>
        <v>MEDIUM</v>
      </c>
      <c r="T235" s="1" t="str">
        <f t="shared" si="22"/>
        <v>Low</v>
      </c>
    </row>
    <row r="236" spans="1:20" x14ac:dyDescent="0.35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  <c r="O236" s="1">
        <f t="shared" si="18"/>
        <v>5032.6000000000004</v>
      </c>
      <c r="P236" s="1">
        <f t="shared" si="19"/>
        <v>0</v>
      </c>
      <c r="Q236" s="1">
        <f t="shared" si="20"/>
        <v>5032.6000000000004</v>
      </c>
      <c r="R236" s="1" t="str">
        <f t="shared" si="21"/>
        <v>LOW</v>
      </c>
      <c r="S236" s="1" t="str" cm="1">
        <f t="array" ref="S236">_xlfn.IFS(L236&gt;=8,"HIGH",L236&gt;=5,"MEDIUM",L236&lt;5,"LOW")</f>
        <v>LOW</v>
      </c>
      <c r="T236" s="1" t="str">
        <f t="shared" si="22"/>
        <v>Low</v>
      </c>
    </row>
    <row r="237" spans="1:20" x14ac:dyDescent="0.35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  <c r="O237" s="1">
        <f t="shared" si="18"/>
        <v>3563.7000000000003</v>
      </c>
      <c r="P237" s="1">
        <f t="shared" si="19"/>
        <v>534.55500000000006</v>
      </c>
      <c r="Q237" s="1">
        <f t="shared" si="20"/>
        <v>3029.1450000000004</v>
      </c>
      <c r="R237" s="1" t="str">
        <f t="shared" si="21"/>
        <v>LOW</v>
      </c>
      <c r="S237" s="1" t="str" cm="1">
        <f t="array" ref="S237">_xlfn.IFS(L237&gt;=8,"HIGH",L237&gt;=5,"MEDIUM",L237&lt;5,"LOW")</f>
        <v>MEDIUM</v>
      </c>
      <c r="T237" s="1" t="str">
        <f t="shared" si="22"/>
        <v>Low</v>
      </c>
    </row>
    <row r="238" spans="1:20" x14ac:dyDescent="0.35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68</v>
      </c>
      <c r="K238" s="1" t="s">
        <v>44</v>
      </c>
      <c r="L238" s="1">
        <v>9</v>
      </c>
      <c r="M238" s="1">
        <v>670.06</v>
      </c>
      <c r="N238" s="1">
        <v>20</v>
      </c>
      <c r="O238" s="1">
        <f t="shared" si="18"/>
        <v>6030.5399999999991</v>
      </c>
      <c r="P238" s="1">
        <f t="shared" si="19"/>
        <v>1206.1079999999999</v>
      </c>
      <c r="Q238" s="1">
        <f t="shared" si="20"/>
        <v>4824.4319999999989</v>
      </c>
      <c r="R238" s="1" t="str">
        <f t="shared" si="21"/>
        <v>LOW</v>
      </c>
      <c r="S238" s="1" t="str" cm="1">
        <f t="array" ref="S238">_xlfn.IFS(L238&gt;=8,"HIGH",L238&gt;=5,"MEDIUM",L238&lt;5,"LOW")</f>
        <v>HIGH</v>
      </c>
      <c r="T238" s="1" t="str">
        <f t="shared" si="22"/>
        <v>Low</v>
      </c>
    </row>
    <row r="239" spans="1:20" x14ac:dyDescent="0.35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67</v>
      </c>
      <c r="K239" s="1" t="s">
        <v>32</v>
      </c>
      <c r="L239" s="1">
        <v>8</v>
      </c>
      <c r="M239" s="1">
        <v>3784.12</v>
      </c>
      <c r="N239" s="1">
        <v>15</v>
      </c>
      <c r="O239" s="1">
        <f t="shared" si="18"/>
        <v>30272.959999999999</v>
      </c>
      <c r="P239" s="1">
        <f t="shared" si="19"/>
        <v>4540.9439999999995</v>
      </c>
      <c r="Q239" s="1">
        <f t="shared" si="20"/>
        <v>25732.016</v>
      </c>
      <c r="R239" s="1" t="str">
        <f t="shared" si="21"/>
        <v>HIGH</v>
      </c>
      <c r="S239" s="1" t="str" cm="1">
        <f t="array" ref="S239">_xlfn.IFS(L239&gt;=8,"HIGH",L239&gt;=5,"MEDIUM",L239&lt;5,"LOW")</f>
        <v>HIGH</v>
      </c>
      <c r="T239" s="1" t="str">
        <f t="shared" si="22"/>
        <v>High</v>
      </c>
    </row>
    <row r="240" spans="1:20" x14ac:dyDescent="0.35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68</v>
      </c>
      <c r="K240" s="1" t="s">
        <v>20</v>
      </c>
      <c r="L240" s="1">
        <v>5</v>
      </c>
      <c r="M240" s="1">
        <v>3098.44</v>
      </c>
      <c r="N240" s="1">
        <v>0</v>
      </c>
      <c r="O240" s="1">
        <f t="shared" si="18"/>
        <v>15492.2</v>
      </c>
      <c r="P240" s="1">
        <f t="shared" si="19"/>
        <v>0</v>
      </c>
      <c r="Q240" s="1">
        <f t="shared" si="20"/>
        <v>15492.2</v>
      </c>
      <c r="R240" s="1" t="str">
        <f t="shared" si="21"/>
        <v>HIGH</v>
      </c>
      <c r="S240" s="1" t="str" cm="1">
        <f t="array" ref="S240">_xlfn.IFS(L240&gt;=8,"HIGH",L240&gt;=5,"MEDIUM",L240&lt;5,"LOW")</f>
        <v>MEDIUM</v>
      </c>
      <c r="T240" s="1" t="str">
        <f t="shared" si="22"/>
        <v>Low</v>
      </c>
    </row>
    <row r="241" spans="1:20" x14ac:dyDescent="0.35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  <c r="O241" s="1">
        <f t="shared" si="18"/>
        <v>1324.74</v>
      </c>
      <c r="P241" s="1">
        <f t="shared" si="19"/>
        <v>66.236999999999995</v>
      </c>
      <c r="Q241" s="1">
        <f t="shared" si="20"/>
        <v>1258.5029999999999</v>
      </c>
      <c r="R241" s="1" t="str">
        <f t="shared" si="21"/>
        <v>LOW</v>
      </c>
      <c r="S241" s="1" t="str" cm="1">
        <f t="array" ref="S241">_xlfn.IFS(L241&gt;=8,"HIGH",L241&gt;=5,"MEDIUM",L241&lt;5,"LOW")</f>
        <v>MEDIUM</v>
      </c>
      <c r="T241" s="1" t="str">
        <f t="shared" si="22"/>
        <v>Low</v>
      </c>
    </row>
    <row r="242" spans="1:20" x14ac:dyDescent="0.35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66</v>
      </c>
      <c r="K242" s="1" t="s">
        <v>20</v>
      </c>
      <c r="L242" s="1">
        <v>6</v>
      </c>
      <c r="M242" s="1">
        <v>1936.66</v>
      </c>
      <c r="N242" s="1">
        <v>0</v>
      </c>
      <c r="O242" s="1">
        <f t="shared" si="18"/>
        <v>11619.960000000001</v>
      </c>
      <c r="P242" s="1">
        <f t="shared" si="19"/>
        <v>0</v>
      </c>
      <c r="Q242" s="1">
        <f t="shared" si="20"/>
        <v>11619.960000000001</v>
      </c>
      <c r="R242" s="1" t="str">
        <f t="shared" si="21"/>
        <v>HIGH</v>
      </c>
      <c r="S242" s="1" t="str" cm="1">
        <f t="array" ref="S242">_xlfn.IFS(L242&gt;=8,"HIGH",L242&gt;=5,"MEDIUM",L242&lt;5,"LOW")</f>
        <v>MEDIUM</v>
      </c>
      <c r="T242" s="1" t="str">
        <f t="shared" si="22"/>
        <v>Low</v>
      </c>
    </row>
    <row r="243" spans="1:20" x14ac:dyDescent="0.35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  <c r="O243" s="1">
        <f t="shared" si="18"/>
        <v>9776.9700000000012</v>
      </c>
      <c r="P243" s="1">
        <f t="shared" si="19"/>
        <v>1955.3940000000002</v>
      </c>
      <c r="Q243" s="1">
        <f t="shared" si="20"/>
        <v>7821.5760000000009</v>
      </c>
      <c r="R243" s="1" t="str">
        <f t="shared" si="21"/>
        <v>LOW</v>
      </c>
      <c r="S243" s="1" t="str" cm="1">
        <f t="array" ref="S243">_xlfn.IFS(L243&gt;=8,"HIGH",L243&gt;=5,"MEDIUM",L243&lt;5,"LOW")</f>
        <v>MEDIUM</v>
      </c>
      <c r="T243" s="1" t="str">
        <f t="shared" si="22"/>
        <v>Medium</v>
      </c>
    </row>
    <row r="244" spans="1:20" x14ac:dyDescent="0.35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  <c r="O244" s="1">
        <f t="shared" si="18"/>
        <v>21563.119999999999</v>
      </c>
      <c r="P244" s="1">
        <f t="shared" si="19"/>
        <v>2156.3119999999999</v>
      </c>
      <c r="Q244" s="1">
        <f t="shared" si="20"/>
        <v>19406.807999999997</v>
      </c>
      <c r="R244" s="1" t="str">
        <f t="shared" si="21"/>
        <v>HIGH</v>
      </c>
      <c r="S244" s="1" t="str" cm="1">
        <f t="array" ref="S244">_xlfn.IFS(L244&gt;=8,"HIGH",L244&gt;=5,"MEDIUM",L244&lt;5,"LOW")</f>
        <v>HIGH</v>
      </c>
      <c r="T244" s="1" t="str">
        <f t="shared" si="22"/>
        <v>Medium</v>
      </c>
    </row>
    <row r="245" spans="1:20" x14ac:dyDescent="0.35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  <c r="O245" s="1">
        <f t="shared" si="18"/>
        <v>23949.99</v>
      </c>
      <c r="P245" s="1">
        <f t="shared" si="19"/>
        <v>2394.9990000000003</v>
      </c>
      <c r="Q245" s="1">
        <f t="shared" si="20"/>
        <v>21554.991000000002</v>
      </c>
      <c r="R245" s="1" t="str">
        <f t="shared" si="21"/>
        <v>HIGH</v>
      </c>
      <c r="S245" s="1" t="str" cm="1">
        <f t="array" ref="S245">_xlfn.IFS(L245&gt;=8,"HIGH",L245&gt;=5,"MEDIUM",L245&lt;5,"LOW")</f>
        <v>HIGH</v>
      </c>
      <c r="T245" s="1" t="str">
        <f t="shared" si="22"/>
        <v>Medium</v>
      </c>
    </row>
    <row r="246" spans="1:20" x14ac:dyDescent="0.35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  <c r="O246" s="1">
        <f t="shared" si="18"/>
        <v>2902.4700000000003</v>
      </c>
      <c r="P246" s="1">
        <f t="shared" si="19"/>
        <v>0</v>
      </c>
      <c r="Q246" s="1">
        <f t="shared" si="20"/>
        <v>2902.4700000000003</v>
      </c>
      <c r="R246" s="1" t="str">
        <f t="shared" si="21"/>
        <v>LOW</v>
      </c>
      <c r="S246" s="1" t="str" cm="1">
        <f t="array" ref="S246">_xlfn.IFS(L246&gt;=8,"HIGH",L246&gt;=5,"MEDIUM",L246&lt;5,"LOW")</f>
        <v>LOW</v>
      </c>
      <c r="T246" s="1" t="str">
        <f t="shared" si="22"/>
        <v>Low</v>
      </c>
    </row>
    <row r="247" spans="1:20" x14ac:dyDescent="0.35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  <c r="O247" s="1">
        <f t="shared" si="18"/>
        <v>619.73</v>
      </c>
      <c r="P247" s="1">
        <f t="shared" si="19"/>
        <v>0</v>
      </c>
      <c r="Q247" s="1">
        <f t="shared" si="20"/>
        <v>619.73</v>
      </c>
      <c r="R247" s="1" t="str">
        <f t="shared" si="21"/>
        <v>LOW</v>
      </c>
      <c r="S247" s="1" t="str" cm="1">
        <f t="array" ref="S247">_xlfn.IFS(L247&gt;=8,"HIGH",L247&gt;=5,"MEDIUM",L247&lt;5,"LOW")</f>
        <v>LOW</v>
      </c>
      <c r="T247" s="1" t="str">
        <f t="shared" si="22"/>
        <v>Low</v>
      </c>
    </row>
    <row r="248" spans="1:20" x14ac:dyDescent="0.35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  <c r="O248" s="1">
        <f t="shared" si="18"/>
        <v>14251.65</v>
      </c>
      <c r="P248" s="1">
        <f t="shared" si="19"/>
        <v>712.58249999999998</v>
      </c>
      <c r="Q248" s="1">
        <f t="shared" si="20"/>
        <v>13539.067499999999</v>
      </c>
      <c r="R248" s="1" t="str">
        <f t="shared" si="21"/>
        <v>HIGH</v>
      </c>
      <c r="S248" s="1" t="str" cm="1">
        <f t="array" ref="S248">_xlfn.IFS(L248&gt;=8,"HIGH",L248&gt;=5,"MEDIUM",L248&lt;5,"LOW")</f>
        <v>MEDIUM</v>
      </c>
      <c r="T248" s="1" t="str">
        <f t="shared" si="22"/>
        <v>Low</v>
      </c>
    </row>
    <row r="249" spans="1:20" x14ac:dyDescent="0.35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  <c r="O249" s="1">
        <f t="shared" si="18"/>
        <v>4456.13</v>
      </c>
      <c r="P249" s="1">
        <f t="shared" si="19"/>
        <v>222.80650000000003</v>
      </c>
      <c r="Q249" s="1">
        <f t="shared" si="20"/>
        <v>4233.3235000000004</v>
      </c>
      <c r="R249" s="1" t="str">
        <f t="shared" si="21"/>
        <v>LOW</v>
      </c>
      <c r="S249" s="1" t="str" cm="1">
        <f t="array" ref="S249">_xlfn.IFS(L249&gt;=8,"HIGH",L249&gt;=5,"MEDIUM",L249&lt;5,"LOW")</f>
        <v>MEDIUM</v>
      </c>
      <c r="T249" s="1" t="str">
        <f t="shared" si="22"/>
        <v>Low</v>
      </c>
    </row>
    <row r="250" spans="1:20" x14ac:dyDescent="0.35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66</v>
      </c>
      <c r="K250" s="1" t="s">
        <v>20</v>
      </c>
      <c r="L250" s="1">
        <v>6</v>
      </c>
      <c r="M250" s="1">
        <v>257.2</v>
      </c>
      <c r="N250" s="1">
        <v>0</v>
      </c>
      <c r="O250" s="1">
        <f t="shared" si="18"/>
        <v>1543.1999999999998</v>
      </c>
      <c r="P250" s="1">
        <f t="shared" si="19"/>
        <v>0</v>
      </c>
      <c r="Q250" s="1">
        <f t="shared" si="20"/>
        <v>1543.1999999999998</v>
      </c>
      <c r="R250" s="1" t="str">
        <f t="shared" si="21"/>
        <v>LOW</v>
      </c>
      <c r="S250" s="1" t="str" cm="1">
        <f t="array" ref="S250">_xlfn.IFS(L250&gt;=8,"HIGH",L250&gt;=5,"MEDIUM",L250&lt;5,"LOW")</f>
        <v>MEDIUM</v>
      </c>
      <c r="T250" s="1" t="str">
        <f t="shared" si="22"/>
        <v>Low</v>
      </c>
    </row>
    <row r="251" spans="1:20" x14ac:dyDescent="0.35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  <c r="O251" s="1">
        <f t="shared" si="18"/>
        <v>10190.08</v>
      </c>
      <c r="P251" s="1">
        <f t="shared" si="19"/>
        <v>2038.0160000000001</v>
      </c>
      <c r="Q251" s="1">
        <f t="shared" si="20"/>
        <v>8152.0640000000003</v>
      </c>
      <c r="R251" s="1" t="str">
        <f t="shared" si="21"/>
        <v>LOW</v>
      </c>
      <c r="S251" s="1" t="str" cm="1">
        <f t="array" ref="S251">_xlfn.IFS(L251&gt;=8,"HIGH",L251&gt;=5,"MEDIUM",L251&lt;5,"LOW")</f>
        <v>LOW</v>
      </c>
      <c r="T251" s="1" t="str">
        <f t="shared" si="22"/>
        <v>Medium</v>
      </c>
    </row>
    <row r="252" spans="1:20" x14ac:dyDescent="0.35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  <c r="O252" s="1">
        <f t="shared" si="18"/>
        <v>6512.04</v>
      </c>
      <c r="P252" s="1">
        <f t="shared" si="19"/>
        <v>1302.4080000000001</v>
      </c>
      <c r="Q252" s="1">
        <f t="shared" si="20"/>
        <v>5209.6319999999996</v>
      </c>
      <c r="R252" s="1" t="str">
        <f t="shared" si="21"/>
        <v>LOW</v>
      </c>
      <c r="S252" s="1" t="str" cm="1">
        <f t="array" ref="S252">_xlfn.IFS(L252&gt;=8,"HIGH",L252&gt;=5,"MEDIUM",L252&lt;5,"LOW")</f>
        <v>LOW</v>
      </c>
      <c r="T252" s="1" t="str">
        <f t="shared" si="22"/>
        <v>Low</v>
      </c>
    </row>
    <row r="253" spans="1:20" x14ac:dyDescent="0.35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  <c r="O253" s="1">
        <f t="shared" si="18"/>
        <v>3391.76</v>
      </c>
      <c r="P253" s="1">
        <f t="shared" si="19"/>
        <v>678.35200000000009</v>
      </c>
      <c r="Q253" s="1">
        <f t="shared" si="20"/>
        <v>2713.4080000000004</v>
      </c>
      <c r="R253" s="1" t="str">
        <f t="shared" si="21"/>
        <v>LOW</v>
      </c>
      <c r="S253" s="1" t="str" cm="1">
        <f t="array" ref="S253">_xlfn.IFS(L253&gt;=8,"HIGH",L253&gt;=5,"MEDIUM",L253&lt;5,"LOW")</f>
        <v>LOW</v>
      </c>
      <c r="T253" s="1" t="str">
        <f t="shared" si="22"/>
        <v>Low</v>
      </c>
    </row>
    <row r="254" spans="1:20" x14ac:dyDescent="0.35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  <c r="O254" s="1">
        <f t="shared" si="18"/>
        <v>8033.8</v>
      </c>
      <c r="P254" s="1">
        <f t="shared" si="19"/>
        <v>401.69</v>
      </c>
      <c r="Q254" s="1">
        <f t="shared" si="20"/>
        <v>7632.1100000000006</v>
      </c>
      <c r="R254" s="1" t="str">
        <f t="shared" si="21"/>
        <v>LOW</v>
      </c>
      <c r="S254" s="1" t="str" cm="1">
        <f t="array" ref="S254">_xlfn.IFS(L254&gt;=8,"HIGH",L254&gt;=5,"MEDIUM",L254&lt;5,"LOW")</f>
        <v>LOW</v>
      </c>
      <c r="T254" s="1" t="str">
        <f t="shared" si="22"/>
        <v>Low</v>
      </c>
    </row>
    <row r="255" spans="1:20" x14ac:dyDescent="0.35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  <c r="O255" s="1">
        <f t="shared" si="18"/>
        <v>12572.8</v>
      </c>
      <c r="P255" s="1">
        <f t="shared" si="19"/>
        <v>0</v>
      </c>
      <c r="Q255" s="1">
        <f t="shared" si="20"/>
        <v>12572.8</v>
      </c>
      <c r="R255" s="1" t="str">
        <f t="shared" si="21"/>
        <v>HIGH</v>
      </c>
      <c r="S255" s="1" t="str" cm="1">
        <f t="array" ref="S255">_xlfn.IFS(L255&gt;=8,"HIGH",L255&gt;=5,"MEDIUM",L255&lt;5,"LOW")</f>
        <v>LOW</v>
      </c>
      <c r="T255" s="1" t="str">
        <f t="shared" si="22"/>
        <v>Low</v>
      </c>
    </row>
    <row r="256" spans="1:20" x14ac:dyDescent="0.35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  <c r="O256" s="1">
        <f t="shared" si="18"/>
        <v>2740.46</v>
      </c>
      <c r="P256" s="1">
        <f t="shared" si="19"/>
        <v>274.04599999999999</v>
      </c>
      <c r="Q256" s="1">
        <f t="shared" si="20"/>
        <v>2466.4140000000002</v>
      </c>
      <c r="R256" s="1" t="str">
        <f t="shared" si="21"/>
        <v>LOW</v>
      </c>
      <c r="S256" s="1" t="str" cm="1">
        <f t="array" ref="S256">_xlfn.IFS(L256&gt;=8,"HIGH",L256&gt;=5,"MEDIUM",L256&lt;5,"LOW")</f>
        <v>LOW</v>
      </c>
      <c r="T256" s="1" t="str">
        <f t="shared" si="22"/>
        <v>Low</v>
      </c>
    </row>
    <row r="257" spans="1:20" x14ac:dyDescent="0.35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  <c r="O257" s="1">
        <f t="shared" si="18"/>
        <v>8186.04</v>
      </c>
      <c r="P257" s="1">
        <f t="shared" si="19"/>
        <v>409.30199999999996</v>
      </c>
      <c r="Q257" s="1">
        <f t="shared" si="20"/>
        <v>7776.7380000000003</v>
      </c>
      <c r="R257" s="1" t="str">
        <f t="shared" si="21"/>
        <v>LOW</v>
      </c>
      <c r="S257" s="1" t="str" cm="1">
        <f t="array" ref="S257">_xlfn.IFS(L257&gt;=8,"HIGH",L257&gt;=5,"MEDIUM",L257&lt;5,"LOW")</f>
        <v>LOW</v>
      </c>
      <c r="T257" s="1" t="str">
        <f t="shared" si="22"/>
        <v>Low</v>
      </c>
    </row>
    <row r="258" spans="1:20" x14ac:dyDescent="0.35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  <c r="O258" s="1">
        <f t="shared" si="18"/>
        <v>2588.64</v>
      </c>
      <c r="P258" s="1">
        <f t="shared" si="19"/>
        <v>0</v>
      </c>
      <c r="Q258" s="1">
        <f t="shared" si="20"/>
        <v>2588.64</v>
      </c>
      <c r="R258" s="1" t="str">
        <f t="shared" si="21"/>
        <v>LOW</v>
      </c>
      <c r="S258" s="1" t="str" cm="1">
        <f t="array" ref="S258">_xlfn.IFS(L258&gt;=8,"HIGH",L258&gt;=5,"MEDIUM",L258&lt;5,"LOW")</f>
        <v>LOW</v>
      </c>
      <c r="T258" s="1" t="str">
        <f t="shared" si="22"/>
        <v>Low</v>
      </c>
    </row>
    <row r="259" spans="1:20" x14ac:dyDescent="0.35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  <c r="O259" s="1">
        <f t="shared" ref="O259:O322" si="23">L259*M259</f>
        <v>3251.27</v>
      </c>
      <c r="P259" s="1">
        <f t="shared" ref="P259:P322" si="24">O259*N259/100</f>
        <v>487.69050000000004</v>
      </c>
      <c r="Q259" s="1">
        <f t="shared" ref="Q259:Q322" si="25">O259-P259</f>
        <v>2763.5794999999998</v>
      </c>
      <c r="R259" s="1" t="str">
        <f t="shared" ref="R259:R322" si="26">IF(Q259&gt;=10000, "HIGH", "LOW")</f>
        <v>LOW</v>
      </c>
      <c r="S259" s="1" t="str" cm="1">
        <f t="array" ref="S259">_xlfn.IFS(L259&gt;=8,"HIGH",L259&gt;=5,"MEDIUM",L259&lt;5,"LOW")</f>
        <v>LOW</v>
      </c>
      <c r="T259" s="1" t="str">
        <f t="shared" ref="T259:T322" si="27">IF(P259&gt;=3000,"High",IF(P259&gt;=1500,"Medium","Low"))</f>
        <v>Low</v>
      </c>
    </row>
    <row r="260" spans="1:20" x14ac:dyDescent="0.35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68</v>
      </c>
      <c r="K260" s="1" t="s">
        <v>27</v>
      </c>
      <c r="L260" s="1">
        <v>1</v>
      </c>
      <c r="M260" s="1">
        <v>1681.85</v>
      </c>
      <c r="N260" s="1">
        <v>5</v>
      </c>
      <c r="O260" s="1">
        <f t="shared" si="23"/>
        <v>1681.85</v>
      </c>
      <c r="P260" s="1">
        <f t="shared" si="24"/>
        <v>84.092500000000001</v>
      </c>
      <c r="Q260" s="1">
        <f t="shared" si="25"/>
        <v>1597.7574999999999</v>
      </c>
      <c r="R260" s="1" t="str">
        <f t="shared" si="26"/>
        <v>LOW</v>
      </c>
      <c r="S260" s="1" t="str" cm="1">
        <f t="array" ref="S260">_xlfn.IFS(L260&gt;=8,"HIGH",L260&gt;=5,"MEDIUM",L260&lt;5,"LOW")</f>
        <v>LOW</v>
      </c>
      <c r="T260" s="1" t="str">
        <f t="shared" si="27"/>
        <v>Low</v>
      </c>
    </row>
    <row r="261" spans="1:20" x14ac:dyDescent="0.35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  <c r="O261" s="1">
        <f t="shared" si="23"/>
        <v>26024.16</v>
      </c>
      <c r="P261" s="1">
        <f t="shared" si="24"/>
        <v>3903.6240000000003</v>
      </c>
      <c r="Q261" s="1">
        <f t="shared" si="25"/>
        <v>22120.536</v>
      </c>
      <c r="R261" s="1" t="str">
        <f t="shared" si="26"/>
        <v>HIGH</v>
      </c>
      <c r="S261" s="1" t="str" cm="1">
        <f t="array" ref="S261">_xlfn.IFS(L261&gt;=8,"HIGH",L261&gt;=5,"MEDIUM",L261&lt;5,"LOW")</f>
        <v>HIGH</v>
      </c>
      <c r="T261" s="1" t="str">
        <f t="shared" si="27"/>
        <v>High</v>
      </c>
    </row>
    <row r="262" spans="1:20" x14ac:dyDescent="0.35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  <c r="O262" s="1">
        <f t="shared" si="23"/>
        <v>19434.080000000002</v>
      </c>
      <c r="P262" s="1">
        <f t="shared" si="24"/>
        <v>2915.1120000000001</v>
      </c>
      <c r="Q262" s="1">
        <f t="shared" si="25"/>
        <v>16518.968000000001</v>
      </c>
      <c r="R262" s="1" t="str">
        <f t="shared" si="26"/>
        <v>HIGH</v>
      </c>
      <c r="S262" s="1" t="str" cm="1">
        <f t="array" ref="S262">_xlfn.IFS(L262&gt;=8,"HIGH",L262&gt;=5,"MEDIUM",L262&lt;5,"LOW")</f>
        <v>HIGH</v>
      </c>
      <c r="T262" s="1" t="str">
        <f t="shared" si="27"/>
        <v>Medium</v>
      </c>
    </row>
    <row r="263" spans="1:20" x14ac:dyDescent="0.35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  <c r="O263" s="1">
        <f t="shared" si="23"/>
        <v>1577.44</v>
      </c>
      <c r="P263" s="1">
        <f t="shared" si="24"/>
        <v>315.48800000000006</v>
      </c>
      <c r="Q263" s="1">
        <f t="shared" si="25"/>
        <v>1261.952</v>
      </c>
      <c r="R263" s="1" t="str">
        <f t="shared" si="26"/>
        <v>LOW</v>
      </c>
      <c r="S263" s="1" t="str" cm="1">
        <f t="array" ref="S263">_xlfn.IFS(L263&gt;=8,"HIGH",L263&gt;=5,"MEDIUM",L263&lt;5,"LOW")</f>
        <v>LOW</v>
      </c>
      <c r="T263" s="1" t="str">
        <f t="shared" si="27"/>
        <v>Low</v>
      </c>
    </row>
    <row r="264" spans="1:20" x14ac:dyDescent="0.35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67</v>
      </c>
      <c r="K264" s="1" t="s">
        <v>20</v>
      </c>
      <c r="L264" s="1">
        <v>7</v>
      </c>
      <c r="M264" s="1">
        <v>245.03</v>
      </c>
      <c r="N264" s="1">
        <v>0</v>
      </c>
      <c r="O264" s="1">
        <f t="shared" si="23"/>
        <v>1715.21</v>
      </c>
      <c r="P264" s="1">
        <f t="shared" si="24"/>
        <v>0</v>
      </c>
      <c r="Q264" s="1">
        <f t="shared" si="25"/>
        <v>1715.21</v>
      </c>
      <c r="R264" s="1" t="str">
        <f t="shared" si="26"/>
        <v>LOW</v>
      </c>
      <c r="S264" s="1" t="str" cm="1">
        <f t="array" ref="S264">_xlfn.IFS(L264&gt;=8,"HIGH",L264&gt;=5,"MEDIUM",L264&lt;5,"LOW")</f>
        <v>MEDIUM</v>
      </c>
      <c r="T264" s="1" t="str">
        <f t="shared" si="27"/>
        <v>Low</v>
      </c>
    </row>
    <row r="265" spans="1:20" x14ac:dyDescent="0.35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  <c r="O265" s="1">
        <f t="shared" si="23"/>
        <v>18038.240000000002</v>
      </c>
      <c r="P265" s="1">
        <f t="shared" si="24"/>
        <v>0</v>
      </c>
      <c r="Q265" s="1">
        <f t="shared" si="25"/>
        <v>18038.240000000002</v>
      </c>
      <c r="R265" s="1" t="str">
        <f t="shared" si="26"/>
        <v>HIGH</v>
      </c>
      <c r="S265" s="1" t="str" cm="1">
        <f t="array" ref="S265">_xlfn.IFS(L265&gt;=8,"HIGH",L265&gt;=5,"MEDIUM",L265&lt;5,"LOW")</f>
        <v>HIGH</v>
      </c>
      <c r="T265" s="1" t="str">
        <f t="shared" si="27"/>
        <v>Low</v>
      </c>
    </row>
    <row r="266" spans="1:20" x14ac:dyDescent="0.35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  <c r="O266" s="1">
        <f t="shared" si="23"/>
        <v>23683.17</v>
      </c>
      <c r="P266" s="1">
        <f t="shared" si="24"/>
        <v>4736.634</v>
      </c>
      <c r="Q266" s="1">
        <f t="shared" si="25"/>
        <v>18946.536</v>
      </c>
      <c r="R266" s="1" t="str">
        <f t="shared" si="26"/>
        <v>HIGH</v>
      </c>
      <c r="S266" s="1" t="str" cm="1">
        <f t="array" ref="S266">_xlfn.IFS(L266&gt;=8,"HIGH",L266&gt;=5,"MEDIUM",L266&lt;5,"LOW")</f>
        <v>MEDIUM</v>
      </c>
      <c r="T266" s="1" t="str">
        <f t="shared" si="27"/>
        <v>High</v>
      </c>
    </row>
    <row r="267" spans="1:20" x14ac:dyDescent="0.35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  <c r="O267" s="1">
        <f t="shared" si="23"/>
        <v>3204.1000000000004</v>
      </c>
      <c r="P267" s="1">
        <f t="shared" si="24"/>
        <v>0</v>
      </c>
      <c r="Q267" s="1">
        <f t="shared" si="25"/>
        <v>3204.1000000000004</v>
      </c>
      <c r="R267" s="1" t="str">
        <f t="shared" si="26"/>
        <v>LOW</v>
      </c>
      <c r="S267" s="1" t="str" cm="1">
        <f t="array" ref="S267">_xlfn.IFS(L267&gt;=8,"HIGH",L267&gt;=5,"MEDIUM",L267&lt;5,"LOW")</f>
        <v>MEDIUM</v>
      </c>
      <c r="T267" s="1" t="str">
        <f t="shared" si="27"/>
        <v>Low</v>
      </c>
    </row>
    <row r="268" spans="1:20" x14ac:dyDescent="0.35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  <c r="O268" s="1">
        <f t="shared" si="23"/>
        <v>31253.22</v>
      </c>
      <c r="P268" s="1">
        <f t="shared" si="24"/>
        <v>4687.9830000000002</v>
      </c>
      <c r="Q268" s="1">
        <f t="shared" si="25"/>
        <v>26565.237000000001</v>
      </c>
      <c r="R268" s="1" t="str">
        <f t="shared" si="26"/>
        <v>HIGH</v>
      </c>
      <c r="S268" s="1" t="str" cm="1">
        <f t="array" ref="S268">_xlfn.IFS(L268&gt;=8,"HIGH",L268&gt;=5,"MEDIUM",L268&lt;5,"LOW")</f>
        <v>HIGH</v>
      </c>
      <c r="T268" s="1" t="str">
        <f t="shared" si="27"/>
        <v>High</v>
      </c>
    </row>
    <row r="269" spans="1:20" x14ac:dyDescent="0.35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  <c r="O269" s="1">
        <f t="shared" si="23"/>
        <v>5111.05</v>
      </c>
      <c r="P269" s="1">
        <f t="shared" si="24"/>
        <v>0</v>
      </c>
      <c r="Q269" s="1">
        <f t="shared" si="25"/>
        <v>5111.05</v>
      </c>
      <c r="R269" s="1" t="str">
        <f t="shared" si="26"/>
        <v>LOW</v>
      </c>
      <c r="S269" s="1" t="str" cm="1">
        <f t="array" ref="S269">_xlfn.IFS(L269&gt;=8,"HIGH",L269&gt;=5,"MEDIUM",L269&lt;5,"LOW")</f>
        <v>MEDIUM</v>
      </c>
      <c r="T269" s="1" t="str">
        <f t="shared" si="27"/>
        <v>Low</v>
      </c>
    </row>
    <row r="270" spans="1:20" x14ac:dyDescent="0.35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  <c r="O270" s="1">
        <f t="shared" si="23"/>
        <v>6857.28</v>
      </c>
      <c r="P270" s="1">
        <f t="shared" si="24"/>
        <v>685.72800000000007</v>
      </c>
      <c r="Q270" s="1">
        <f t="shared" si="25"/>
        <v>6171.5519999999997</v>
      </c>
      <c r="R270" s="1" t="str">
        <f t="shared" si="26"/>
        <v>LOW</v>
      </c>
      <c r="S270" s="1" t="str" cm="1">
        <f t="array" ref="S270">_xlfn.IFS(L270&gt;=8,"HIGH",L270&gt;=5,"MEDIUM",L270&lt;5,"LOW")</f>
        <v>LOW</v>
      </c>
      <c r="T270" s="1" t="str">
        <f t="shared" si="27"/>
        <v>Low</v>
      </c>
    </row>
    <row r="271" spans="1:20" x14ac:dyDescent="0.35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  <c r="O271" s="1">
        <f t="shared" si="23"/>
        <v>23802.6</v>
      </c>
      <c r="P271" s="1">
        <f t="shared" si="24"/>
        <v>0</v>
      </c>
      <c r="Q271" s="1">
        <f t="shared" si="25"/>
        <v>23802.6</v>
      </c>
      <c r="R271" s="1" t="str">
        <f t="shared" si="26"/>
        <v>HIGH</v>
      </c>
      <c r="S271" s="1" t="str" cm="1">
        <f t="array" ref="S271">_xlfn.IFS(L271&gt;=8,"HIGH",L271&gt;=5,"MEDIUM",L271&lt;5,"LOW")</f>
        <v>MEDIUM</v>
      </c>
      <c r="T271" s="1" t="str">
        <f t="shared" si="27"/>
        <v>Low</v>
      </c>
    </row>
    <row r="272" spans="1:20" x14ac:dyDescent="0.35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  <c r="O272" s="1">
        <f t="shared" si="23"/>
        <v>5896.66</v>
      </c>
      <c r="P272" s="1">
        <f t="shared" si="24"/>
        <v>884.49899999999991</v>
      </c>
      <c r="Q272" s="1">
        <f t="shared" si="25"/>
        <v>5012.1610000000001</v>
      </c>
      <c r="R272" s="1" t="str">
        <f t="shared" si="26"/>
        <v>LOW</v>
      </c>
      <c r="S272" s="1" t="str" cm="1">
        <f t="array" ref="S272">_xlfn.IFS(L272&gt;=8,"HIGH",L272&gt;=5,"MEDIUM",L272&lt;5,"LOW")</f>
        <v>LOW</v>
      </c>
      <c r="T272" s="1" t="str">
        <f t="shared" si="27"/>
        <v>Low</v>
      </c>
    </row>
    <row r="273" spans="1:20" x14ac:dyDescent="0.35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  <c r="O273" s="1">
        <f t="shared" si="23"/>
        <v>3171.36</v>
      </c>
      <c r="P273" s="1">
        <f t="shared" si="24"/>
        <v>634.27200000000005</v>
      </c>
      <c r="Q273" s="1">
        <f t="shared" si="25"/>
        <v>2537.0880000000002</v>
      </c>
      <c r="R273" s="1" t="str">
        <f t="shared" si="26"/>
        <v>LOW</v>
      </c>
      <c r="S273" s="1" t="str" cm="1">
        <f t="array" ref="S273">_xlfn.IFS(L273&gt;=8,"HIGH",L273&gt;=5,"MEDIUM",L273&lt;5,"LOW")</f>
        <v>LOW</v>
      </c>
      <c r="T273" s="1" t="str">
        <f t="shared" si="27"/>
        <v>Low</v>
      </c>
    </row>
    <row r="274" spans="1:20" x14ac:dyDescent="0.35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  <c r="O274" s="1">
        <f t="shared" si="23"/>
        <v>27849.5</v>
      </c>
      <c r="P274" s="1">
        <f t="shared" si="24"/>
        <v>5569.9</v>
      </c>
      <c r="Q274" s="1">
        <f t="shared" si="25"/>
        <v>22279.599999999999</v>
      </c>
      <c r="R274" s="1" t="str">
        <f t="shared" si="26"/>
        <v>HIGH</v>
      </c>
      <c r="S274" s="1" t="str" cm="1">
        <f t="array" ref="S274">_xlfn.IFS(L274&gt;=8,"HIGH",L274&gt;=5,"MEDIUM",L274&lt;5,"LOW")</f>
        <v>MEDIUM</v>
      </c>
      <c r="T274" s="1" t="str">
        <f t="shared" si="27"/>
        <v>High</v>
      </c>
    </row>
    <row r="275" spans="1:20" x14ac:dyDescent="0.35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66</v>
      </c>
      <c r="K275" s="1" t="s">
        <v>20</v>
      </c>
      <c r="L275" s="1">
        <v>2</v>
      </c>
      <c r="M275" s="1">
        <v>1335.36</v>
      </c>
      <c r="N275" s="1">
        <v>5</v>
      </c>
      <c r="O275" s="1">
        <f t="shared" si="23"/>
        <v>2670.72</v>
      </c>
      <c r="P275" s="1">
        <f t="shared" si="24"/>
        <v>133.53599999999997</v>
      </c>
      <c r="Q275" s="1">
        <f t="shared" si="25"/>
        <v>2537.1839999999997</v>
      </c>
      <c r="R275" s="1" t="str">
        <f t="shared" si="26"/>
        <v>LOW</v>
      </c>
      <c r="S275" s="1" t="str" cm="1">
        <f t="array" ref="S275">_xlfn.IFS(L275&gt;=8,"HIGH",L275&gt;=5,"MEDIUM",L275&lt;5,"LOW")</f>
        <v>LOW</v>
      </c>
      <c r="T275" s="1" t="str">
        <f t="shared" si="27"/>
        <v>Low</v>
      </c>
    </row>
    <row r="276" spans="1:20" x14ac:dyDescent="0.35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65</v>
      </c>
      <c r="K276" s="1" t="s">
        <v>32</v>
      </c>
      <c r="L276" s="1">
        <v>1</v>
      </c>
      <c r="M276" s="1">
        <v>1126.5</v>
      </c>
      <c r="N276" s="1">
        <v>15</v>
      </c>
      <c r="O276" s="1">
        <f t="shared" si="23"/>
        <v>1126.5</v>
      </c>
      <c r="P276" s="1">
        <f t="shared" si="24"/>
        <v>168.97499999999999</v>
      </c>
      <c r="Q276" s="1">
        <f t="shared" si="25"/>
        <v>957.52499999999998</v>
      </c>
      <c r="R276" s="1" t="str">
        <f t="shared" si="26"/>
        <v>LOW</v>
      </c>
      <c r="S276" s="1" t="str" cm="1">
        <f t="array" ref="S276">_xlfn.IFS(L276&gt;=8,"HIGH",L276&gt;=5,"MEDIUM",L276&lt;5,"LOW")</f>
        <v>LOW</v>
      </c>
      <c r="T276" s="1" t="str">
        <f t="shared" si="27"/>
        <v>Low</v>
      </c>
    </row>
    <row r="277" spans="1:20" x14ac:dyDescent="0.35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  <c r="O277" s="1">
        <f t="shared" si="23"/>
        <v>1393.26</v>
      </c>
      <c r="P277" s="1">
        <f t="shared" si="24"/>
        <v>278.65199999999999</v>
      </c>
      <c r="Q277" s="1">
        <f t="shared" si="25"/>
        <v>1114.6079999999999</v>
      </c>
      <c r="R277" s="1" t="str">
        <f t="shared" si="26"/>
        <v>LOW</v>
      </c>
      <c r="S277" s="1" t="str" cm="1">
        <f t="array" ref="S277">_xlfn.IFS(L277&gt;=8,"HIGH",L277&gt;=5,"MEDIUM",L277&lt;5,"LOW")</f>
        <v>LOW</v>
      </c>
      <c r="T277" s="1" t="str">
        <f t="shared" si="27"/>
        <v>Low</v>
      </c>
    </row>
    <row r="278" spans="1:20" x14ac:dyDescent="0.35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  <c r="O278" s="1">
        <f t="shared" si="23"/>
        <v>14834.04</v>
      </c>
      <c r="P278" s="1">
        <f t="shared" si="24"/>
        <v>741.70200000000011</v>
      </c>
      <c r="Q278" s="1">
        <f t="shared" si="25"/>
        <v>14092.338000000002</v>
      </c>
      <c r="R278" s="1" t="str">
        <f t="shared" si="26"/>
        <v>HIGH</v>
      </c>
      <c r="S278" s="1" t="str" cm="1">
        <f t="array" ref="S278">_xlfn.IFS(L278&gt;=8,"HIGH",L278&gt;=5,"MEDIUM",L278&lt;5,"LOW")</f>
        <v>LOW</v>
      </c>
      <c r="T278" s="1" t="str">
        <f t="shared" si="27"/>
        <v>Low</v>
      </c>
    </row>
    <row r="279" spans="1:20" x14ac:dyDescent="0.35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  <c r="O279" s="1">
        <f t="shared" si="23"/>
        <v>2567.7199999999998</v>
      </c>
      <c r="P279" s="1">
        <f t="shared" si="24"/>
        <v>0</v>
      </c>
      <c r="Q279" s="1">
        <f t="shared" si="25"/>
        <v>2567.7199999999998</v>
      </c>
      <c r="R279" s="1" t="str">
        <f t="shared" si="26"/>
        <v>LOW</v>
      </c>
      <c r="S279" s="1" t="str" cm="1">
        <f t="array" ref="S279">_xlfn.IFS(L279&gt;=8,"HIGH",L279&gt;=5,"MEDIUM",L279&lt;5,"LOW")</f>
        <v>LOW</v>
      </c>
      <c r="T279" s="1" t="str">
        <f t="shared" si="27"/>
        <v>Low</v>
      </c>
    </row>
    <row r="280" spans="1:20" x14ac:dyDescent="0.35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  <c r="O280" s="1">
        <f t="shared" si="23"/>
        <v>9265.5499999999993</v>
      </c>
      <c r="P280" s="1">
        <f t="shared" si="24"/>
        <v>926.55499999999995</v>
      </c>
      <c r="Q280" s="1">
        <f t="shared" si="25"/>
        <v>8338.994999999999</v>
      </c>
      <c r="R280" s="1" t="str">
        <f t="shared" si="26"/>
        <v>LOW</v>
      </c>
      <c r="S280" s="1" t="str" cm="1">
        <f t="array" ref="S280">_xlfn.IFS(L280&gt;=8,"HIGH",L280&gt;=5,"MEDIUM",L280&lt;5,"LOW")</f>
        <v>MEDIUM</v>
      </c>
      <c r="T280" s="1" t="str">
        <f t="shared" si="27"/>
        <v>Low</v>
      </c>
    </row>
    <row r="281" spans="1:20" x14ac:dyDescent="0.35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  <c r="O281" s="1">
        <f t="shared" si="23"/>
        <v>2194.5699999999997</v>
      </c>
      <c r="P281" s="1">
        <f t="shared" si="24"/>
        <v>0</v>
      </c>
      <c r="Q281" s="1">
        <f t="shared" si="25"/>
        <v>2194.5699999999997</v>
      </c>
      <c r="R281" s="1" t="str">
        <f t="shared" si="26"/>
        <v>LOW</v>
      </c>
      <c r="S281" s="1" t="str" cm="1">
        <f t="array" ref="S281">_xlfn.IFS(L281&gt;=8,"HIGH",L281&gt;=5,"MEDIUM",L281&lt;5,"LOW")</f>
        <v>MEDIUM</v>
      </c>
      <c r="T281" s="1" t="str">
        <f t="shared" si="27"/>
        <v>Low</v>
      </c>
    </row>
    <row r="282" spans="1:20" x14ac:dyDescent="0.35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  <c r="O282" s="1">
        <f t="shared" si="23"/>
        <v>11143.24</v>
      </c>
      <c r="P282" s="1">
        <f t="shared" si="24"/>
        <v>2228.6479999999997</v>
      </c>
      <c r="Q282" s="1">
        <f t="shared" si="25"/>
        <v>8914.5920000000006</v>
      </c>
      <c r="R282" s="1" t="str">
        <f t="shared" si="26"/>
        <v>LOW</v>
      </c>
      <c r="S282" s="1" t="str" cm="1">
        <f t="array" ref="S282">_xlfn.IFS(L282&gt;=8,"HIGH",L282&gt;=5,"MEDIUM",L282&lt;5,"LOW")</f>
        <v>LOW</v>
      </c>
      <c r="T282" s="1" t="str">
        <f t="shared" si="27"/>
        <v>Medium</v>
      </c>
    </row>
    <row r="283" spans="1:20" x14ac:dyDescent="0.35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  <c r="O283" s="1">
        <f t="shared" si="23"/>
        <v>3625.42</v>
      </c>
      <c r="P283" s="1">
        <f t="shared" si="24"/>
        <v>362.54199999999997</v>
      </c>
      <c r="Q283" s="1">
        <f t="shared" si="25"/>
        <v>3262.8780000000002</v>
      </c>
      <c r="R283" s="1" t="str">
        <f t="shared" si="26"/>
        <v>LOW</v>
      </c>
      <c r="S283" s="1" t="str" cm="1">
        <f t="array" ref="S283">_xlfn.IFS(L283&gt;=8,"HIGH",L283&gt;=5,"MEDIUM",L283&lt;5,"LOW")</f>
        <v>LOW</v>
      </c>
      <c r="T283" s="1" t="str">
        <f t="shared" si="27"/>
        <v>Low</v>
      </c>
    </row>
    <row r="284" spans="1:20" x14ac:dyDescent="0.35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  <c r="O284" s="1">
        <f t="shared" si="23"/>
        <v>2561.48</v>
      </c>
      <c r="P284" s="1">
        <f t="shared" si="24"/>
        <v>512.29599999999994</v>
      </c>
      <c r="Q284" s="1">
        <f t="shared" si="25"/>
        <v>2049.1840000000002</v>
      </c>
      <c r="R284" s="1" t="str">
        <f t="shared" si="26"/>
        <v>LOW</v>
      </c>
      <c r="S284" s="1" t="str" cm="1">
        <f t="array" ref="S284">_xlfn.IFS(L284&gt;=8,"HIGH",L284&gt;=5,"MEDIUM",L284&lt;5,"LOW")</f>
        <v>LOW</v>
      </c>
      <c r="T284" s="1" t="str">
        <f t="shared" si="27"/>
        <v>Low</v>
      </c>
    </row>
    <row r="285" spans="1:20" x14ac:dyDescent="0.35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  <c r="O285" s="1">
        <f t="shared" si="23"/>
        <v>3708.38</v>
      </c>
      <c r="P285" s="1">
        <f t="shared" si="24"/>
        <v>741.67600000000004</v>
      </c>
      <c r="Q285" s="1">
        <f t="shared" si="25"/>
        <v>2966.7040000000002</v>
      </c>
      <c r="R285" s="1" t="str">
        <f t="shared" si="26"/>
        <v>LOW</v>
      </c>
      <c r="S285" s="1" t="str" cm="1">
        <f t="array" ref="S285">_xlfn.IFS(L285&gt;=8,"HIGH",L285&gt;=5,"MEDIUM",L285&lt;5,"LOW")</f>
        <v>LOW</v>
      </c>
      <c r="T285" s="1" t="str">
        <f t="shared" si="27"/>
        <v>Low</v>
      </c>
    </row>
    <row r="286" spans="1:20" x14ac:dyDescent="0.35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  <c r="O286" s="1">
        <f t="shared" si="23"/>
        <v>5770.74</v>
      </c>
      <c r="P286" s="1">
        <f t="shared" si="24"/>
        <v>865.61099999999988</v>
      </c>
      <c r="Q286" s="1">
        <f t="shared" si="25"/>
        <v>4905.1289999999999</v>
      </c>
      <c r="R286" s="1" t="str">
        <f t="shared" si="26"/>
        <v>LOW</v>
      </c>
      <c r="S286" s="1" t="str" cm="1">
        <f t="array" ref="S286">_xlfn.IFS(L286&gt;=8,"HIGH",L286&gt;=5,"MEDIUM",L286&lt;5,"LOW")</f>
        <v>LOW</v>
      </c>
      <c r="T286" s="1" t="str">
        <f t="shared" si="27"/>
        <v>Low</v>
      </c>
    </row>
    <row r="287" spans="1:20" x14ac:dyDescent="0.35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  <c r="O287" s="1">
        <f t="shared" si="23"/>
        <v>4142.08</v>
      </c>
      <c r="P287" s="1">
        <f t="shared" si="24"/>
        <v>828.41600000000005</v>
      </c>
      <c r="Q287" s="1">
        <f t="shared" si="25"/>
        <v>3313.6639999999998</v>
      </c>
      <c r="R287" s="1" t="str">
        <f t="shared" si="26"/>
        <v>LOW</v>
      </c>
      <c r="S287" s="1" t="str" cm="1">
        <f t="array" ref="S287">_xlfn.IFS(L287&gt;=8,"HIGH",L287&gt;=5,"MEDIUM",L287&lt;5,"LOW")</f>
        <v>LOW</v>
      </c>
      <c r="T287" s="1" t="str">
        <f t="shared" si="27"/>
        <v>Low</v>
      </c>
    </row>
    <row r="288" spans="1:20" x14ac:dyDescent="0.35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  <c r="O288" s="1">
        <f t="shared" si="23"/>
        <v>23695.920000000002</v>
      </c>
      <c r="P288" s="1">
        <f t="shared" si="24"/>
        <v>1184.796</v>
      </c>
      <c r="Q288" s="1">
        <f t="shared" si="25"/>
        <v>22511.124000000003</v>
      </c>
      <c r="R288" s="1" t="str">
        <f t="shared" si="26"/>
        <v>HIGH</v>
      </c>
      <c r="S288" s="1" t="str" cm="1">
        <f t="array" ref="S288">_xlfn.IFS(L288&gt;=8,"HIGH",L288&gt;=5,"MEDIUM",L288&lt;5,"LOW")</f>
        <v>HIGH</v>
      </c>
      <c r="T288" s="1" t="str">
        <f t="shared" si="27"/>
        <v>Low</v>
      </c>
    </row>
    <row r="289" spans="1:20" x14ac:dyDescent="0.35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  <c r="O289" s="1">
        <f t="shared" si="23"/>
        <v>11337.93</v>
      </c>
      <c r="P289" s="1">
        <f t="shared" si="24"/>
        <v>1700.6895000000002</v>
      </c>
      <c r="Q289" s="1">
        <f t="shared" si="25"/>
        <v>9637.2404999999999</v>
      </c>
      <c r="R289" s="1" t="str">
        <f t="shared" si="26"/>
        <v>LOW</v>
      </c>
      <c r="S289" s="1" t="str" cm="1">
        <f t="array" ref="S289">_xlfn.IFS(L289&gt;=8,"HIGH",L289&gt;=5,"MEDIUM",L289&lt;5,"LOW")</f>
        <v>HIGH</v>
      </c>
      <c r="T289" s="1" t="str">
        <f t="shared" si="27"/>
        <v>Medium</v>
      </c>
    </row>
    <row r="290" spans="1:20" x14ac:dyDescent="0.35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  <c r="O290" s="1">
        <f t="shared" si="23"/>
        <v>10402.48</v>
      </c>
      <c r="P290" s="1">
        <f t="shared" si="24"/>
        <v>0</v>
      </c>
      <c r="Q290" s="1">
        <f t="shared" si="25"/>
        <v>10402.48</v>
      </c>
      <c r="R290" s="1" t="str">
        <f t="shared" si="26"/>
        <v>HIGH</v>
      </c>
      <c r="S290" s="1" t="str" cm="1">
        <f t="array" ref="S290">_xlfn.IFS(L290&gt;=8,"HIGH",L290&gt;=5,"MEDIUM",L290&lt;5,"LOW")</f>
        <v>HIGH</v>
      </c>
      <c r="T290" s="1" t="str">
        <f t="shared" si="27"/>
        <v>Low</v>
      </c>
    </row>
    <row r="291" spans="1:20" x14ac:dyDescent="0.35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  <c r="O291" s="1">
        <f t="shared" si="23"/>
        <v>28648.959999999999</v>
      </c>
      <c r="P291" s="1">
        <f t="shared" si="24"/>
        <v>4297.3440000000001</v>
      </c>
      <c r="Q291" s="1">
        <f t="shared" si="25"/>
        <v>24351.615999999998</v>
      </c>
      <c r="R291" s="1" t="str">
        <f t="shared" si="26"/>
        <v>HIGH</v>
      </c>
      <c r="S291" s="1" t="str" cm="1">
        <f t="array" ref="S291">_xlfn.IFS(L291&gt;=8,"HIGH",L291&gt;=5,"MEDIUM",L291&lt;5,"LOW")</f>
        <v>HIGH</v>
      </c>
      <c r="T291" s="1" t="str">
        <f t="shared" si="27"/>
        <v>High</v>
      </c>
    </row>
    <row r="292" spans="1:20" x14ac:dyDescent="0.35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  <c r="O292" s="1">
        <f t="shared" si="23"/>
        <v>202.49</v>
      </c>
      <c r="P292" s="1">
        <f t="shared" si="24"/>
        <v>10.124500000000001</v>
      </c>
      <c r="Q292" s="1">
        <f t="shared" si="25"/>
        <v>192.3655</v>
      </c>
      <c r="R292" s="1" t="str">
        <f t="shared" si="26"/>
        <v>LOW</v>
      </c>
      <c r="S292" s="1" t="str" cm="1">
        <f t="array" ref="S292">_xlfn.IFS(L292&gt;=8,"HIGH",L292&gt;=5,"MEDIUM",L292&lt;5,"LOW")</f>
        <v>LOW</v>
      </c>
      <c r="T292" s="1" t="str">
        <f t="shared" si="27"/>
        <v>Low</v>
      </c>
    </row>
    <row r="293" spans="1:20" x14ac:dyDescent="0.35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  <c r="O293" s="1">
        <f t="shared" si="23"/>
        <v>11140</v>
      </c>
      <c r="P293" s="1">
        <f t="shared" si="24"/>
        <v>1671</v>
      </c>
      <c r="Q293" s="1">
        <f t="shared" si="25"/>
        <v>9469</v>
      </c>
      <c r="R293" s="1" t="str">
        <f t="shared" si="26"/>
        <v>LOW</v>
      </c>
      <c r="S293" s="1" t="str" cm="1">
        <f t="array" ref="S293">_xlfn.IFS(L293&gt;=8,"HIGH",L293&gt;=5,"MEDIUM",L293&lt;5,"LOW")</f>
        <v>HIGH</v>
      </c>
      <c r="T293" s="1" t="str">
        <f t="shared" si="27"/>
        <v>Medium</v>
      </c>
    </row>
    <row r="294" spans="1:20" x14ac:dyDescent="0.35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  <c r="O294" s="1">
        <f t="shared" si="23"/>
        <v>6852.8099999999995</v>
      </c>
      <c r="P294" s="1">
        <f t="shared" si="24"/>
        <v>1370.5619999999999</v>
      </c>
      <c r="Q294" s="1">
        <f t="shared" si="25"/>
        <v>5482.2479999999996</v>
      </c>
      <c r="R294" s="1" t="str">
        <f t="shared" si="26"/>
        <v>LOW</v>
      </c>
      <c r="S294" s="1" t="str" cm="1">
        <f t="array" ref="S294">_xlfn.IFS(L294&gt;=8,"HIGH",L294&gt;=5,"MEDIUM",L294&lt;5,"LOW")</f>
        <v>LOW</v>
      </c>
      <c r="T294" s="1" t="str">
        <f t="shared" si="27"/>
        <v>Low</v>
      </c>
    </row>
    <row r="295" spans="1:20" x14ac:dyDescent="0.35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  <c r="O295" s="1">
        <f t="shared" si="23"/>
        <v>17967.3</v>
      </c>
      <c r="P295" s="1">
        <f t="shared" si="24"/>
        <v>3593.46</v>
      </c>
      <c r="Q295" s="1">
        <f t="shared" si="25"/>
        <v>14373.84</v>
      </c>
      <c r="R295" s="1" t="str">
        <f t="shared" si="26"/>
        <v>HIGH</v>
      </c>
      <c r="S295" s="1" t="str" cm="1">
        <f t="array" ref="S295">_xlfn.IFS(L295&gt;=8,"HIGH",L295&gt;=5,"MEDIUM",L295&lt;5,"LOW")</f>
        <v>MEDIUM</v>
      </c>
      <c r="T295" s="1" t="str">
        <f t="shared" si="27"/>
        <v>High</v>
      </c>
    </row>
    <row r="296" spans="1:20" x14ac:dyDescent="0.35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  <c r="O296" s="1">
        <f t="shared" si="23"/>
        <v>16604.400000000001</v>
      </c>
      <c r="P296" s="1">
        <f t="shared" si="24"/>
        <v>0</v>
      </c>
      <c r="Q296" s="1">
        <f t="shared" si="25"/>
        <v>16604.400000000001</v>
      </c>
      <c r="R296" s="1" t="str">
        <f t="shared" si="26"/>
        <v>HIGH</v>
      </c>
      <c r="S296" s="1" t="str" cm="1">
        <f t="array" ref="S296">_xlfn.IFS(L296&gt;=8,"HIGH",L296&gt;=5,"MEDIUM",L296&lt;5,"LOW")</f>
        <v>MEDIUM</v>
      </c>
      <c r="T296" s="1" t="str">
        <f t="shared" si="27"/>
        <v>Low</v>
      </c>
    </row>
    <row r="297" spans="1:20" x14ac:dyDescent="0.35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  <c r="O297" s="1">
        <f t="shared" si="23"/>
        <v>28882.639999999999</v>
      </c>
      <c r="P297" s="1">
        <f t="shared" si="24"/>
        <v>1444.1320000000001</v>
      </c>
      <c r="Q297" s="1">
        <f t="shared" si="25"/>
        <v>27438.507999999998</v>
      </c>
      <c r="R297" s="1" t="str">
        <f t="shared" si="26"/>
        <v>HIGH</v>
      </c>
      <c r="S297" s="1" t="str" cm="1">
        <f t="array" ref="S297">_xlfn.IFS(L297&gt;=8,"HIGH",L297&gt;=5,"MEDIUM",L297&lt;5,"LOW")</f>
        <v>HIGH</v>
      </c>
      <c r="T297" s="1" t="str">
        <f t="shared" si="27"/>
        <v>Low</v>
      </c>
    </row>
    <row r="298" spans="1:20" x14ac:dyDescent="0.35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  <c r="O298" s="1">
        <f t="shared" si="23"/>
        <v>26217.52</v>
      </c>
      <c r="P298" s="1">
        <f t="shared" si="24"/>
        <v>3932.6279999999997</v>
      </c>
      <c r="Q298" s="1">
        <f t="shared" si="25"/>
        <v>22284.892</v>
      </c>
      <c r="R298" s="1" t="str">
        <f t="shared" si="26"/>
        <v>HIGH</v>
      </c>
      <c r="S298" s="1" t="str" cm="1">
        <f t="array" ref="S298">_xlfn.IFS(L298&gt;=8,"HIGH",L298&gt;=5,"MEDIUM",L298&lt;5,"LOW")</f>
        <v>HIGH</v>
      </c>
      <c r="T298" s="1" t="str">
        <f t="shared" si="27"/>
        <v>High</v>
      </c>
    </row>
    <row r="299" spans="1:20" x14ac:dyDescent="0.35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  <c r="O299" s="1">
        <f t="shared" si="23"/>
        <v>9771.36</v>
      </c>
      <c r="P299" s="1">
        <f t="shared" si="24"/>
        <v>0</v>
      </c>
      <c r="Q299" s="1">
        <f t="shared" si="25"/>
        <v>9771.36</v>
      </c>
      <c r="R299" s="1" t="str">
        <f t="shared" si="26"/>
        <v>LOW</v>
      </c>
      <c r="S299" s="1" t="str" cm="1">
        <f t="array" ref="S299">_xlfn.IFS(L299&gt;=8,"HIGH",L299&gt;=5,"MEDIUM",L299&lt;5,"LOW")</f>
        <v>MEDIUM</v>
      </c>
      <c r="T299" s="1" t="str">
        <f t="shared" si="27"/>
        <v>Low</v>
      </c>
    </row>
    <row r="300" spans="1:20" x14ac:dyDescent="0.35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67</v>
      </c>
      <c r="K300" s="1" t="s">
        <v>46</v>
      </c>
      <c r="L300" s="1">
        <v>6</v>
      </c>
      <c r="M300" s="1">
        <v>2715.13</v>
      </c>
      <c r="N300" s="1">
        <v>20</v>
      </c>
      <c r="O300" s="1">
        <f t="shared" si="23"/>
        <v>16290.78</v>
      </c>
      <c r="P300" s="1">
        <f t="shared" si="24"/>
        <v>3258.1560000000004</v>
      </c>
      <c r="Q300" s="1">
        <f t="shared" si="25"/>
        <v>13032.624</v>
      </c>
      <c r="R300" s="1" t="str">
        <f t="shared" si="26"/>
        <v>HIGH</v>
      </c>
      <c r="S300" s="1" t="str" cm="1">
        <f t="array" ref="S300">_xlfn.IFS(L300&gt;=8,"HIGH",L300&gt;=5,"MEDIUM",L300&lt;5,"LOW")</f>
        <v>MEDIUM</v>
      </c>
      <c r="T300" s="1" t="str">
        <f t="shared" si="27"/>
        <v>High</v>
      </c>
    </row>
    <row r="301" spans="1:20" x14ac:dyDescent="0.35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  <c r="O301" s="1">
        <f t="shared" si="23"/>
        <v>7914.04</v>
      </c>
      <c r="P301" s="1">
        <f t="shared" si="24"/>
        <v>395.702</v>
      </c>
      <c r="Q301" s="1">
        <f t="shared" si="25"/>
        <v>7518.3379999999997</v>
      </c>
      <c r="R301" s="1" t="str">
        <f t="shared" si="26"/>
        <v>LOW</v>
      </c>
      <c r="S301" s="1" t="str" cm="1">
        <f t="array" ref="S301">_xlfn.IFS(L301&gt;=8,"HIGH",L301&gt;=5,"MEDIUM",L301&lt;5,"LOW")</f>
        <v>LOW</v>
      </c>
      <c r="T301" s="1" t="str">
        <f t="shared" si="27"/>
        <v>Low</v>
      </c>
    </row>
    <row r="302" spans="1:20" x14ac:dyDescent="0.35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  <c r="O302" s="1">
        <f t="shared" si="23"/>
        <v>6114.2999999999993</v>
      </c>
      <c r="P302" s="1">
        <f t="shared" si="24"/>
        <v>0</v>
      </c>
      <c r="Q302" s="1">
        <f t="shared" si="25"/>
        <v>6114.2999999999993</v>
      </c>
      <c r="R302" s="1" t="str">
        <f t="shared" si="26"/>
        <v>LOW</v>
      </c>
      <c r="S302" s="1" t="str" cm="1">
        <f t="array" ref="S302">_xlfn.IFS(L302&gt;=8,"HIGH",L302&gt;=5,"MEDIUM",L302&lt;5,"LOW")</f>
        <v>MEDIUM</v>
      </c>
      <c r="T302" s="1" t="str">
        <f t="shared" si="27"/>
        <v>Low</v>
      </c>
    </row>
    <row r="303" spans="1:20" x14ac:dyDescent="0.35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  <c r="O303" s="1">
        <f t="shared" si="23"/>
        <v>8255.5499999999993</v>
      </c>
      <c r="P303" s="1">
        <f t="shared" si="24"/>
        <v>1651.11</v>
      </c>
      <c r="Q303" s="1">
        <f t="shared" si="25"/>
        <v>6604.44</v>
      </c>
      <c r="R303" s="1" t="str">
        <f t="shared" si="26"/>
        <v>LOW</v>
      </c>
      <c r="S303" s="1" t="str" cm="1">
        <f t="array" ref="S303">_xlfn.IFS(L303&gt;=8,"HIGH",L303&gt;=5,"MEDIUM",L303&lt;5,"LOW")</f>
        <v>MEDIUM</v>
      </c>
      <c r="T303" s="1" t="str">
        <f t="shared" si="27"/>
        <v>Medium</v>
      </c>
    </row>
    <row r="304" spans="1:20" x14ac:dyDescent="0.35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  <c r="O304" s="1">
        <f t="shared" si="23"/>
        <v>4088.16</v>
      </c>
      <c r="P304" s="1">
        <f t="shared" si="24"/>
        <v>613.22399999999993</v>
      </c>
      <c r="Q304" s="1">
        <f t="shared" si="25"/>
        <v>3474.9359999999997</v>
      </c>
      <c r="R304" s="1" t="str">
        <f t="shared" si="26"/>
        <v>LOW</v>
      </c>
      <c r="S304" s="1" t="str" cm="1">
        <f t="array" ref="S304">_xlfn.IFS(L304&gt;=8,"HIGH",L304&gt;=5,"MEDIUM",L304&lt;5,"LOW")</f>
        <v>MEDIUM</v>
      </c>
      <c r="T304" s="1" t="str">
        <f t="shared" si="27"/>
        <v>Low</v>
      </c>
    </row>
    <row r="305" spans="1:20" x14ac:dyDescent="0.35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68</v>
      </c>
      <c r="K305" s="1" t="s">
        <v>44</v>
      </c>
      <c r="L305" s="1">
        <v>1</v>
      </c>
      <c r="M305" s="1">
        <v>3910.66</v>
      </c>
      <c r="N305" s="1">
        <v>5</v>
      </c>
      <c r="O305" s="1">
        <f t="shared" si="23"/>
        <v>3910.66</v>
      </c>
      <c r="P305" s="1">
        <f t="shared" si="24"/>
        <v>195.53299999999999</v>
      </c>
      <c r="Q305" s="1">
        <f t="shared" si="25"/>
        <v>3715.127</v>
      </c>
      <c r="R305" s="1" t="str">
        <f t="shared" si="26"/>
        <v>LOW</v>
      </c>
      <c r="S305" s="1" t="str" cm="1">
        <f t="array" ref="S305">_xlfn.IFS(L305&gt;=8,"HIGH",L305&gt;=5,"MEDIUM",L305&lt;5,"LOW")</f>
        <v>LOW</v>
      </c>
      <c r="T305" s="1" t="str">
        <f t="shared" si="27"/>
        <v>Low</v>
      </c>
    </row>
    <row r="306" spans="1:20" x14ac:dyDescent="0.35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  <c r="O306" s="1">
        <f t="shared" si="23"/>
        <v>1462.35</v>
      </c>
      <c r="P306" s="1">
        <f t="shared" si="24"/>
        <v>73.117500000000007</v>
      </c>
      <c r="Q306" s="1">
        <f t="shared" si="25"/>
        <v>1389.2324999999998</v>
      </c>
      <c r="R306" s="1" t="str">
        <f t="shared" si="26"/>
        <v>LOW</v>
      </c>
      <c r="S306" s="1" t="str" cm="1">
        <f t="array" ref="S306">_xlfn.IFS(L306&gt;=8,"HIGH",L306&gt;=5,"MEDIUM",L306&lt;5,"LOW")</f>
        <v>LOW</v>
      </c>
      <c r="T306" s="1" t="str">
        <f t="shared" si="27"/>
        <v>Low</v>
      </c>
    </row>
    <row r="307" spans="1:20" x14ac:dyDescent="0.35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  <c r="O307" s="1">
        <f t="shared" si="23"/>
        <v>3581.58</v>
      </c>
      <c r="P307" s="1">
        <f t="shared" si="24"/>
        <v>537.23699999999997</v>
      </c>
      <c r="Q307" s="1">
        <f t="shared" si="25"/>
        <v>3044.3429999999998</v>
      </c>
      <c r="R307" s="1" t="str">
        <f t="shared" si="26"/>
        <v>LOW</v>
      </c>
      <c r="S307" s="1" t="str" cm="1">
        <f t="array" ref="S307">_xlfn.IFS(L307&gt;=8,"HIGH",L307&gt;=5,"MEDIUM",L307&lt;5,"LOW")</f>
        <v>LOW</v>
      </c>
      <c r="T307" s="1" t="str">
        <f t="shared" si="27"/>
        <v>Low</v>
      </c>
    </row>
    <row r="308" spans="1:20" x14ac:dyDescent="0.35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  <c r="O308" s="1">
        <f t="shared" si="23"/>
        <v>9678.4</v>
      </c>
      <c r="P308" s="1">
        <f t="shared" si="24"/>
        <v>1935.68</v>
      </c>
      <c r="Q308" s="1">
        <f t="shared" si="25"/>
        <v>7742.7199999999993</v>
      </c>
      <c r="R308" s="1" t="str">
        <f t="shared" si="26"/>
        <v>LOW</v>
      </c>
      <c r="S308" s="1" t="str" cm="1">
        <f t="array" ref="S308">_xlfn.IFS(L308&gt;=8,"HIGH",L308&gt;=5,"MEDIUM",L308&lt;5,"LOW")</f>
        <v>MEDIUM</v>
      </c>
      <c r="T308" s="1" t="str">
        <f t="shared" si="27"/>
        <v>Medium</v>
      </c>
    </row>
    <row r="309" spans="1:20" x14ac:dyDescent="0.35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  <c r="O309" s="1">
        <f t="shared" si="23"/>
        <v>4146.33</v>
      </c>
      <c r="P309" s="1">
        <f t="shared" si="24"/>
        <v>414.63300000000004</v>
      </c>
      <c r="Q309" s="1">
        <f t="shared" si="25"/>
        <v>3731.6970000000001</v>
      </c>
      <c r="R309" s="1" t="str">
        <f t="shared" si="26"/>
        <v>LOW</v>
      </c>
      <c r="S309" s="1" t="str" cm="1">
        <f t="array" ref="S309">_xlfn.IFS(L309&gt;=8,"HIGH",L309&gt;=5,"MEDIUM",L309&lt;5,"LOW")</f>
        <v>LOW</v>
      </c>
      <c r="T309" s="1" t="str">
        <f t="shared" si="27"/>
        <v>Low</v>
      </c>
    </row>
    <row r="310" spans="1:20" x14ac:dyDescent="0.35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67</v>
      </c>
      <c r="K310" s="1" t="s">
        <v>27</v>
      </c>
      <c r="L310" s="1">
        <v>2</v>
      </c>
      <c r="M310" s="1">
        <v>1984.38</v>
      </c>
      <c r="N310" s="1">
        <v>10</v>
      </c>
      <c r="O310" s="1">
        <f t="shared" si="23"/>
        <v>3968.76</v>
      </c>
      <c r="P310" s="1">
        <f t="shared" si="24"/>
        <v>396.87600000000003</v>
      </c>
      <c r="Q310" s="1">
        <f t="shared" si="25"/>
        <v>3571.884</v>
      </c>
      <c r="R310" s="1" t="str">
        <f t="shared" si="26"/>
        <v>LOW</v>
      </c>
      <c r="S310" s="1" t="str" cm="1">
        <f t="array" ref="S310">_xlfn.IFS(L310&gt;=8,"HIGH",L310&gt;=5,"MEDIUM",L310&lt;5,"LOW")</f>
        <v>LOW</v>
      </c>
      <c r="T310" s="1" t="str">
        <f t="shared" si="27"/>
        <v>Low</v>
      </c>
    </row>
    <row r="311" spans="1:20" x14ac:dyDescent="0.35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  <c r="O311" s="1">
        <f t="shared" si="23"/>
        <v>11003.76</v>
      </c>
      <c r="P311" s="1">
        <f t="shared" si="24"/>
        <v>1650.5639999999999</v>
      </c>
      <c r="Q311" s="1">
        <f t="shared" si="25"/>
        <v>9353.1959999999999</v>
      </c>
      <c r="R311" s="1" t="str">
        <f t="shared" si="26"/>
        <v>LOW</v>
      </c>
      <c r="S311" s="1" t="str" cm="1">
        <f t="array" ref="S311">_xlfn.IFS(L311&gt;=8,"HIGH",L311&gt;=5,"MEDIUM",L311&lt;5,"LOW")</f>
        <v>HIGH</v>
      </c>
      <c r="T311" s="1" t="str">
        <f t="shared" si="27"/>
        <v>Medium</v>
      </c>
    </row>
    <row r="312" spans="1:20" x14ac:dyDescent="0.35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  <c r="O312" s="1">
        <f t="shared" si="23"/>
        <v>6098.37</v>
      </c>
      <c r="P312" s="1">
        <f t="shared" si="24"/>
        <v>609.83699999999999</v>
      </c>
      <c r="Q312" s="1">
        <f t="shared" si="25"/>
        <v>5488.5329999999994</v>
      </c>
      <c r="R312" s="1" t="str">
        <f t="shared" si="26"/>
        <v>LOW</v>
      </c>
      <c r="S312" s="1" t="str" cm="1">
        <f t="array" ref="S312">_xlfn.IFS(L312&gt;=8,"HIGH",L312&gt;=5,"MEDIUM",L312&lt;5,"LOW")</f>
        <v>LOW</v>
      </c>
      <c r="T312" s="1" t="str">
        <f t="shared" si="27"/>
        <v>Low</v>
      </c>
    </row>
    <row r="313" spans="1:20" x14ac:dyDescent="0.35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  <c r="O313" s="1">
        <f t="shared" si="23"/>
        <v>2430.36</v>
      </c>
      <c r="P313" s="1">
        <f t="shared" si="24"/>
        <v>364.55400000000003</v>
      </c>
      <c r="Q313" s="1">
        <f t="shared" si="25"/>
        <v>2065.806</v>
      </c>
      <c r="R313" s="1" t="str">
        <f t="shared" si="26"/>
        <v>LOW</v>
      </c>
      <c r="S313" s="1" t="str" cm="1">
        <f t="array" ref="S313">_xlfn.IFS(L313&gt;=8,"HIGH",L313&gt;=5,"MEDIUM",L313&lt;5,"LOW")</f>
        <v>LOW</v>
      </c>
      <c r="T313" s="1" t="str">
        <f t="shared" si="27"/>
        <v>Low</v>
      </c>
    </row>
    <row r="314" spans="1:20" x14ac:dyDescent="0.35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  <c r="O314" s="1">
        <f t="shared" si="23"/>
        <v>4661.9400000000005</v>
      </c>
      <c r="P314" s="1">
        <f t="shared" si="24"/>
        <v>699.29100000000005</v>
      </c>
      <c r="Q314" s="1">
        <f t="shared" si="25"/>
        <v>3962.6490000000003</v>
      </c>
      <c r="R314" s="1" t="str">
        <f t="shared" si="26"/>
        <v>LOW</v>
      </c>
      <c r="S314" s="1" t="str" cm="1">
        <f t="array" ref="S314">_xlfn.IFS(L314&gt;=8,"HIGH",L314&gt;=5,"MEDIUM",L314&lt;5,"LOW")</f>
        <v>LOW</v>
      </c>
      <c r="T314" s="1" t="str">
        <f t="shared" si="27"/>
        <v>Low</v>
      </c>
    </row>
    <row r="315" spans="1:20" x14ac:dyDescent="0.35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  <c r="O315" s="1">
        <f t="shared" si="23"/>
        <v>23946</v>
      </c>
      <c r="P315" s="1">
        <f t="shared" si="24"/>
        <v>2394.6</v>
      </c>
      <c r="Q315" s="1">
        <f t="shared" si="25"/>
        <v>21551.4</v>
      </c>
      <c r="R315" s="1" t="str">
        <f t="shared" si="26"/>
        <v>HIGH</v>
      </c>
      <c r="S315" s="1" t="str" cm="1">
        <f t="array" ref="S315">_xlfn.IFS(L315&gt;=8,"HIGH",L315&gt;=5,"MEDIUM",L315&lt;5,"LOW")</f>
        <v>HIGH</v>
      </c>
      <c r="T315" s="1" t="str">
        <f t="shared" si="27"/>
        <v>Medium</v>
      </c>
    </row>
    <row r="316" spans="1:20" x14ac:dyDescent="0.35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  <c r="O316" s="1">
        <f t="shared" si="23"/>
        <v>16298.880000000001</v>
      </c>
      <c r="P316" s="1">
        <f t="shared" si="24"/>
        <v>0</v>
      </c>
      <c r="Q316" s="1">
        <f t="shared" si="25"/>
        <v>16298.880000000001</v>
      </c>
      <c r="R316" s="1" t="str">
        <f t="shared" si="26"/>
        <v>HIGH</v>
      </c>
      <c r="S316" s="1" t="str" cm="1">
        <f t="array" ref="S316">_xlfn.IFS(L316&gt;=8,"HIGH",L316&gt;=5,"MEDIUM",L316&lt;5,"LOW")</f>
        <v>MEDIUM</v>
      </c>
      <c r="T316" s="1" t="str">
        <f t="shared" si="27"/>
        <v>Low</v>
      </c>
    </row>
    <row r="317" spans="1:20" x14ac:dyDescent="0.35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  <c r="O317" s="1">
        <f t="shared" si="23"/>
        <v>1220.6199999999999</v>
      </c>
      <c r="P317" s="1">
        <f t="shared" si="24"/>
        <v>122.06199999999998</v>
      </c>
      <c r="Q317" s="1">
        <f t="shared" si="25"/>
        <v>1098.558</v>
      </c>
      <c r="R317" s="1" t="str">
        <f t="shared" si="26"/>
        <v>LOW</v>
      </c>
      <c r="S317" s="1" t="str" cm="1">
        <f t="array" ref="S317">_xlfn.IFS(L317&gt;=8,"HIGH",L317&gt;=5,"MEDIUM",L317&lt;5,"LOW")</f>
        <v>LOW</v>
      </c>
      <c r="T317" s="1" t="str">
        <f t="shared" si="27"/>
        <v>Low</v>
      </c>
    </row>
    <row r="318" spans="1:20" x14ac:dyDescent="0.35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  <c r="O318" s="1">
        <f t="shared" si="23"/>
        <v>14128.02</v>
      </c>
      <c r="P318" s="1">
        <f t="shared" si="24"/>
        <v>2119.203</v>
      </c>
      <c r="Q318" s="1">
        <f t="shared" si="25"/>
        <v>12008.817000000001</v>
      </c>
      <c r="R318" s="1" t="str">
        <f t="shared" si="26"/>
        <v>HIGH</v>
      </c>
      <c r="S318" s="1" t="str" cm="1">
        <f t="array" ref="S318">_xlfn.IFS(L318&gt;=8,"HIGH",L318&gt;=5,"MEDIUM",L318&lt;5,"LOW")</f>
        <v>MEDIUM</v>
      </c>
      <c r="T318" s="1" t="str">
        <f t="shared" si="27"/>
        <v>Medium</v>
      </c>
    </row>
    <row r="319" spans="1:20" x14ac:dyDescent="0.35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  <c r="O319" s="1">
        <f t="shared" si="23"/>
        <v>16228.85</v>
      </c>
      <c r="P319" s="1">
        <f t="shared" si="24"/>
        <v>0</v>
      </c>
      <c r="Q319" s="1">
        <f t="shared" si="25"/>
        <v>16228.85</v>
      </c>
      <c r="R319" s="1" t="str">
        <f t="shared" si="26"/>
        <v>HIGH</v>
      </c>
      <c r="S319" s="1" t="str" cm="1">
        <f t="array" ref="S319">_xlfn.IFS(L319&gt;=8,"HIGH",L319&gt;=5,"MEDIUM",L319&lt;5,"LOW")</f>
        <v>MEDIUM</v>
      </c>
      <c r="T319" s="1" t="str">
        <f t="shared" si="27"/>
        <v>Low</v>
      </c>
    </row>
    <row r="320" spans="1:20" x14ac:dyDescent="0.35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  <c r="O320" s="1">
        <f t="shared" si="23"/>
        <v>5369.58</v>
      </c>
      <c r="P320" s="1">
        <f t="shared" si="24"/>
        <v>0</v>
      </c>
      <c r="Q320" s="1">
        <f t="shared" si="25"/>
        <v>5369.58</v>
      </c>
      <c r="R320" s="1" t="str">
        <f t="shared" si="26"/>
        <v>LOW</v>
      </c>
      <c r="S320" s="1" t="str" cm="1">
        <f t="array" ref="S320">_xlfn.IFS(L320&gt;=8,"HIGH",L320&gt;=5,"MEDIUM",L320&lt;5,"LOW")</f>
        <v>LOW</v>
      </c>
      <c r="T320" s="1" t="str">
        <f t="shared" si="27"/>
        <v>Low</v>
      </c>
    </row>
    <row r="321" spans="1:20" x14ac:dyDescent="0.35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  <c r="O321" s="1">
        <f t="shared" si="23"/>
        <v>2743.75</v>
      </c>
      <c r="P321" s="1">
        <f t="shared" si="24"/>
        <v>411.5625</v>
      </c>
      <c r="Q321" s="1">
        <f t="shared" si="25"/>
        <v>2332.1875</v>
      </c>
      <c r="R321" s="1" t="str">
        <f t="shared" si="26"/>
        <v>LOW</v>
      </c>
      <c r="S321" s="1" t="str" cm="1">
        <f t="array" ref="S321">_xlfn.IFS(L321&gt;=8,"HIGH",L321&gt;=5,"MEDIUM",L321&lt;5,"LOW")</f>
        <v>LOW</v>
      </c>
      <c r="T321" s="1" t="str">
        <f t="shared" si="27"/>
        <v>Low</v>
      </c>
    </row>
    <row r="322" spans="1:20" x14ac:dyDescent="0.35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65</v>
      </c>
      <c r="K322" s="1" t="s">
        <v>44</v>
      </c>
      <c r="L322" s="1">
        <v>4</v>
      </c>
      <c r="M322" s="1">
        <v>1333.99</v>
      </c>
      <c r="N322" s="1">
        <v>5</v>
      </c>
      <c r="O322" s="1">
        <f t="shared" si="23"/>
        <v>5335.96</v>
      </c>
      <c r="P322" s="1">
        <f t="shared" si="24"/>
        <v>266.798</v>
      </c>
      <c r="Q322" s="1">
        <f t="shared" si="25"/>
        <v>5069.1620000000003</v>
      </c>
      <c r="R322" s="1" t="str">
        <f t="shared" si="26"/>
        <v>LOW</v>
      </c>
      <c r="S322" s="1" t="str" cm="1">
        <f t="array" ref="S322">_xlfn.IFS(L322&gt;=8,"HIGH",L322&gt;=5,"MEDIUM",L322&lt;5,"LOW")</f>
        <v>LOW</v>
      </c>
      <c r="T322" s="1" t="str">
        <f t="shared" si="27"/>
        <v>Low</v>
      </c>
    </row>
    <row r="323" spans="1:20" x14ac:dyDescent="0.35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  <c r="O323" s="1">
        <f t="shared" ref="O323:O373" si="28">L323*M323</f>
        <v>2044.41</v>
      </c>
      <c r="P323" s="1">
        <f t="shared" ref="P323:P373" si="29">O323*N323/100</f>
        <v>0</v>
      </c>
      <c r="Q323" s="1">
        <f t="shared" ref="Q323:Q373" si="30">O323-P323</f>
        <v>2044.41</v>
      </c>
      <c r="R323" s="1" t="str">
        <f t="shared" ref="R323:R373" si="31">IF(Q323&gt;=10000, "HIGH", "LOW")</f>
        <v>LOW</v>
      </c>
      <c r="S323" s="1" t="str" cm="1">
        <f t="array" ref="S323">_xlfn.IFS(L323&gt;=8,"HIGH",L323&gt;=5,"MEDIUM",L323&lt;5,"LOW")</f>
        <v>LOW</v>
      </c>
      <c r="T323" s="1" t="str">
        <f t="shared" ref="T323:T373" si="32">IF(P323&gt;=3000,"High",IF(P323&gt;=1500,"Medium","Low"))</f>
        <v>Low</v>
      </c>
    </row>
    <row r="324" spans="1:20" x14ac:dyDescent="0.35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  <c r="O324" s="1">
        <f t="shared" si="28"/>
        <v>28949.040000000001</v>
      </c>
      <c r="P324" s="1">
        <f t="shared" si="29"/>
        <v>5789.8080000000009</v>
      </c>
      <c r="Q324" s="1">
        <f t="shared" si="30"/>
        <v>23159.232</v>
      </c>
      <c r="R324" s="1" t="str">
        <f t="shared" si="31"/>
        <v>HIGH</v>
      </c>
      <c r="S324" s="1" t="str" cm="1">
        <f t="array" ref="S324">_xlfn.IFS(L324&gt;=8,"HIGH",L324&gt;=5,"MEDIUM",L324&lt;5,"LOW")</f>
        <v>HIGH</v>
      </c>
      <c r="T324" s="1" t="str">
        <f t="shared" si="32"/>
        <v>High</v>
      </c>
    </row>
    <row r="325" spans="1:20" x14ac:dyDescent="0.35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  <c r="O325" s="1">
        <f t="shared" si="28"/>
        <v>7141.6100000000006</v>
      </c>
      <c r="P325" s="1">
        <f t="shared" si="29"/>
        <v>714.16100000000006</v>
      </c>
      <c r="Q325" s="1">
        <f t="shared" si="30"/>
        <v>6427.4490000000005</v>
      </c>
      <c r="R325" s="1" t="str">
        <f t="shared" si="31"/>
        <v>LOW</v>
      </c>
      <c r="S325" s="1" t="str" cm="1">
        <f t="array" ref="S325">_xlfn.IFS(L325&gt;=8,"HIGH",L325&gt;=5,"MEDIUM",L325&lt;5,"LOW")</f>
        <v>MEDIUM</v>
      </c>
      <c r="T325" s="1" t="str">
        <f t="shared" si="32"/>
        <v>Low</v>
      </c>
    </row>
    <row r="326" spans="1:20" x14ac:dyDescent="0.35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  <c r="O326" s="1">
        <f t="shared" si="28"/>
        <v>6497.16</v>
      </c>
      <c r="P326" s="1">
        <f t="shared" si="29"/>
        <v>324.858</v>
      </c>
      <c r="Q326" s="1">
        <f t="shared" si="30"/>
        <v>6172.3019999999997</v>
      </c>
      <c r="R326" s="1" t="str">
        <f t="shared" si="31"/>
        <v>LOW</v>
      </c>
      <c r="S326" s="1" t="str" cm="1">
        <f t="array" ref="S326">_xlfn.IFS(L326&gt;=8,"HIGH",L326&gt;=5,"MEDIUM",L326&lt;5,"LOW")</f>
        <v>LOW</v>
      </c>
      <c r="T326" s="1" t="str">
        <f t="shared" si="32"/>
        <v>Low</v>
      </c>
    </row>
    <row r="327" spans="1:20" x14ac:dyDescent="0.35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  <c r="O327" s="1">
        <f t="shared" si="28"/>
        <v>10380.719999999999</v>
      </c>
      <c r="P327" s="1">
        <f t="shared" si="29"/>
        <v>0</v>
      </c>
      <c r="Q327" s="1">
        <f t="shared" si="30"/>
        <v>10380.719999999999</v>
      </c>
      <c r="R327" s="1" t="str">
        <f t="shared" si="31"/>
        <v>HIGH</v>
      </c>
      <c r="S327" s="1" t="str" cm="1">
        <f t="array" ref="S327">_xlfn.IFS(L327&gt;=8,"HIGH",L327&gt;=5,"MEDIUM",L327&lt;5,"LOW")</f>
        <v>HIGH</v>
      </c>
      <c r="T327" s="1" t="str">
        <f t="shared" si="32"/>
        <v>Low</v>
      </c>
    </row>
    <row r="328" spans="1:20" x14ac:dyDescent="0.35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  <c r="O328" s="1">
        <f t="shared" si="28"/>
        <v>1219.7</v>
      </c>
      <c r="P328" s="1">
        <f t="shared" si="29"/>
        <v>60.984999999999999</v>
      </c>
      <c r="Q328" s="1">
        <f t="shared" si="30"/>
        <v>1158.7150000000001</v>
      </c>
      <c r="R328" s="1" t="str">
        <f t="shared" si="31"/>
        <v>LOW</v>
      </c>
      <c r="S328" s="1" t="str" cm="1">
        <f t="array" ref="S328">_xlfn.IFS(L328&gt;=8,"HIGH",L328&gt;=5,"MEDIUM",L328&lt;5,"LOW")</f>
        <v>LOW</v>
      </c>
      <c r="T328" s="1" t="str">
        <f t="shared" si="32"/>
        <v>Low</v>
      </c>
    </row>
    <row r="329" spans="1:20" x14ac:dyDescent="0.35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  <c r="O329" s="1">
        <f t="shared" si="28"/>
        <v>3354.81</v>
      </c>
      <c r="P329" s="1">
        <f t="shared" si="29"/>
        <v>0</v>
      </c>
      <c r="Q329" s="1">
        <f t="shared" si="30"/>
        <v>3354.81</v>
      </c>
      <c r="R329" s="1" t="str">
        <f t="shared" si="31"/>
        <v>LOW</v>
      </c>
      <c r="S329" s="1" t="str" cm="1">
        <f t="array" ref="S329">_xlfn.IFS(L329&gt;=8,"HIGH",L329&gt;=5,"MEDIUM",L329&lt;5,"LOW")</f>
        <v>LOW</v>
      </c>
      <c r="T329" s="1" t="str">
        <f t="shared" si="32"/>
        <v>Low</v>
      </c>
    </row>
    <row r="330" spans="1:20" x14ac:dyDescent="0.35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  <c r="O330" s="1">
        <f t="shared" si="28"/>
        <v>31244.560000000001</v>
      </c>
      <c r="P330" s="1">
        <f t="shared" si="29"/>
        <v>3124.4560000000001</v>
      </c>
      <c r="Q330" s="1">
        <f t="shared" si="30"/>
        <v>28120.103999999999</v>
      </c>
      <c r="R330" s="1" t="str">
        <f t="shared" si="31"/>
        <v>HIGH</v>
      </c>
      <c r="S330" s="1" t="str" cm="1">
        <f t="array" ref="S330">_xlfn.IFS(L330&gt;=8,"HIGH",L330&gt;=5,"MEDIUM",L330&lt;5,"LOW")</f>
        <v>HIGH</v>
      </c>
      <c r="T330" s="1" t="str">
        <f t="shared" si="32"/>
        <v>High</v>
      </c>
    </row>
    <row r="331" spans="1:20" x14ac:dyDescent="0.35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  <c r="O331" s="1">
        <f t="shared" si="28"/>
        <v>7729.86</v>
      </c>
      <c r="P331" s="1">
        <f t="shared" si="29"/>
        <v>1159.479</v>
      </c>
      <c r="Q331" s="1">
        <f t="shared" si="30"/>
        <v>6570.3809999999994</v>
      </c>
      <c r="R331" s="1" t="str">
        <f t="shared" si="31"/>
        <v>LOW</v>
      </c>
      <c r="S331" s="1" t="str" cm="1">
        <f t="array" ref="S331">_xlfn.IFS(L331&gt;=8,"HIGH",L331&gt;=5,"MEDIUM",L331&lt;5,"LOW")</f>
        <v>MEDIUM</v>
      </c>
      <c r="T331" s="1" t="str">
        <f t="shared" si="32"/>
        <v>Low</v>
      </c>
    </row>
    <row r="332" spans="1:20" x14ac:dyDescent="0.35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  <c r="O332" s="1">
        <f t="shared" si="28"/>
        <v>33662.700000000004</v>
      </c>
      <c r="P332" s="1">
        <f t="shared" si="29"/>
        <v>3366.2700000000004</v>
      </c>
      <c r="Q332" s="1">
        <f t="shared" si="30"/>
        <v>30296.430000000004</v>
      </c>
      <c r="R332" s="1" t="str">
        <f t="shared" si="31"/>
        <v>HIGH</v>
      </c>
      <c r="S332" s="1" t="str" cm="1">
        <f t="array" ref="S332">_xlfn.IFS(L332&gt;=8,"HIGH",L332&gt;=5,"MEDIUM",L332&lt;5,"LOW")</f>
        <v>HIGH</v>
      </c>
      <c r="T332" s="1" t="str">
        <f t="shared" si="32"/>
        <v>High</v>
      </c>
    </row>
    <row r="333" spans="1:20" x14ac:dyDescent="0.35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  <c r="O333" s="1">
        <f t="shared" si="28"/>
        <v>22091.31</v>
      </c>
      <c r="P333" s="1">
        <f t="shared" si="29"/>
        <v>1104.5654999999999</v>
      </c>
      <c r="Q333" s="1">
        <f t="shared" si="30"/>
        <v>20986.744500000001</v>
      </c>
      <c r="R333" s="1" t="str">
        <f t="shared" si="31"/>
        <v>HIGH</v>
      </c>
      <c r="S333" s="1" t="str" cm="1">
        <f t="array" ref="S333">_xlfn.IFS(L333&gt;=8,"HIGH",L333&gt;=5,"MEDIUM",L333&lt;5,"LOW")</f>
        <v>HIGH</v>
      </c>
      <c r="T333" s="1" t="str">
        <f t="shared" si="32"/>
        <v>Low</v>
      </c>
    </row>
    <row r="334" spans="1:20" x14ac:dyDescent="0.35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  <c r="O334" s="1">
        <f t="shared" si="28"/>
        <v>13484.22</v>
      </c>
      <c r="P334" s="1">
        <f t="shared" si="29"/>
        <v>2022.6329999999998</v>
      </c>
      <c r="Q334" s="1">
        <f t="shared" si="30"/>
        <v>11461.587</v>
      </c>
      <c r="R334" s="1" t="str">
        <f t="shared" si="31"/>
        <v>HIGH</v>
      </c>
      <c r="S334" s="1" t="str" cm="1">
        <f t="array" ref="S334">_xlfn.IFS(L334&gt;=8,"HIGH",L334&gt;=5,"MEDIUM",L334&lt;5,"LOW")</f>
        <v>MEDIUM</v>
      </c>
      <c r="T334" s="1" t="str">
        <f t="shared" si="32"/>
        <v>Medium</v>
      </c>
    </row>
    <row r="335" spans="1:20" x14ac:dyDescent="0.35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  <c r="O335" s="1">
        <f t="shared" si="28"/>
        <v>3498.88</v>
      </c>
      <c r="P335" s="1">
        <f t="shared" si="29"/>
        <v>699.77600000000007</v>
      </c>
      <c r="Q335" s="1">
        <f t="shared" si="30"/>
        <v>2799.1040000000003</v>
      </c>
      <c r="R335" s="1" t="str">
        <f t="shared" si="31"/>
        <v>LOW</v>
      </c>
      <c r="S335" s="1" t="str" cm="1">
        <f t="array" ref="S335">_xlfn.IFS(L335&gt;=8,"HIGH",L335&gt;=5,"MEDIUM",L335&lt;5,"LOW")</f>
        <v>HIGH</v>
      </c>
      <c r="T335" s="1" t="str">
        <f t="shared" si="32"/>
        <v>Low</v>
      </c>
    </row>
    <row r="336" spans="1:20" x14ac:dyDescent="0.35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  <c r="O336" s="1">
        <f t="shared" si="28"/>
        <v>10934.34</v>
      </c>
      <c r="P336" s="1">
        <f t="shared" si="29"/>
        <v>0</v>
      </c>
      <c r="Q336" s="1">
        <f t="shared" si="30"/>
        <v>10934.34</v>
      </c>
      <c r="R336" s="1" t="str">
        <f t="shared" si="31"/>
        <v>HIGH</v>
      </c>
      <c r="S336" s="1" t="str" cm="1">
        <f t="array" ref="S336">_xlfn.IFS(L336&gt;=8,"HIGH",L336&gt;=5,"MEDIUM",L336&lt;5,"LOW")</f>
        <v>LOW</v>
      </c>
      <c r="T336" s="1" t="str">
        <f t="shared" si="32"/>
        <v>Low</v>
      </c>
    </row>
    <row r="337" spans="1:20" x14ac:dyDescent="0.35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  <c r="O337" s="1">
        <f t="shared" si="28"/>
        <v>11960.34</v>
      </c>
      <c r="P337" s="1">
        <f t="shared" si="29"/>
        <v>2392.0679999999998</v>
      </c>
      <c r="Q337" s="1">
        <f t="shared" si="30"/>
        <v>9568.2720000000008</v>
      </c>
      <c r="R337" s="1" t="str">
        <f t="shared" si="31"/>
        <v>LOW</v>
      </c>
      <c r="S337" s="1" t="str" cm="1">
        <f t="array" ref="S337">_xlfn.IFS(L337&gt;=8,"HIGH",L337&gt;=5,"MEDIUM",L337&lt;5,"LOW")</f>
        <v>LOW</v>
      </c>
      <c r="T337" s="1" t="str">
        <f t="shared" si="32"/>
        <v>Medium</v>
      </c>
    </row>
    <row r="338" spans="1:20" x14ac:dyDescent="0.35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  <c r="O338" s="1">
        <f t="shared" si="28"/>
        <v>15581.099999999999</v>
      </c>
      <c r="P338" s="1">
        <f t="shared" si="29"/>
        <v>1558.11</v>
      </c>
      <c r="Q338" s="1">
        <f t="shared" si="30"/>
        <v>14022.989999999998</v>
      </c>
      <c r="R338" s="1" t="str">
        <f t="shared" si="31"/>
        <v>HIGH</v>
      </c>
      <c r="S338" s="1" t="str" cm="1">
        <f t="array" ref="S338">_xlfn.IFS(L338&gt;=8,"HIGH",L338&gt;=5,"MEDIUM",L338&lt;5,"LOW")</f>
        <v>MEDIUM</v>
      </c>
      <c r="T338" s="1" t="str">
        <f t="shared" si="32"/>
        <v>Medium</v>
      </c>
    </row>
    <row r="339" spans="1:20" x14ac:dyDescent="0.35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  <c r="O339" s="1">
        <f t="shared" si="28"/>
        <v>4345.8599999999997</v>
      </c>
      <c r="P339" s="1">
        <f t="shared" si="29"/>
        <v>434.58600000000001</v>
      </c>
      <c r="Q339" s="1">
        <f t="shared" si="30"/>
        <v>3911.2739999999994</v>
      </c>
      <c r="R339" s="1" t="str">
        <f t="shared" si="31"/>
        <v>LOW</v>
      </c>
      <c r="S339" s="1" t="str" cm="1">
        <f t="array" ref="S339">_xlfn.IFS(L339&gt;=8,"HIGH",L339&gt;=5,"MEDIUM",L339&lt;5,"LOW")</f>
        <v>LOW</v>
      </c>
      <c r="T339" s="1" t="str">
        <f t="shared" si="32"/>
        <v>Low</v>
      </c>
    </row>
    <row r="340" spans="1:20" x14ac:dyDescent="0.35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  <c r="O340" s="1">
        <f t="shared" si="28"/>
        <v>3775.07</v>
      </c>
      <c r="P340" s="1">
        <f t="shared" si="29"/>
        <v>377.50700000000006</v>
      </c>
      <c r="Q340" s="1">
        <f t="shared" si="30"/>
        <v>3397.5630000000001</v>
      </c>
      <c r="R340" s="1" t="str">
        <f t="shared" si="31"/>
        <v>LOW</v>
      </c>
      <c r="S340" s="1" t="str" cm="1">
        <f t="array" ref="S340">_xlfn.IFS(L340&gt;=8,"HIGH",L340&gt;=5,"MEDIUM",L340&lt;5,"LOW")</f>
        <v>LOW</v>
      </c>
      <c r="T340" s="1" t="str">
        <f t="shared" si="32"/>
        <v>Low</v>
      </c>
    </row>
    <row r="341" spans="1:20" x14ac:dyDescent="0.35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  <c r="O341" s="1">
        <f t="shared" si="28"/>
        <v>6568.2000000000007</v>
      </c>
      <c r="P341" s="1">
        <f t="shared" si="29"/>
        <v>1313.64</v>
      </c>
      <c r="Q341" s="1">
        <f t="shared" si="30"/>
        <v>5254.56</v>
      </c>
      <c r="R341" s="1" t="str">
        <f t="shared" si="31"/>
        <v>LOW</v>
      </c>
      <c r="S341" s="1" t="str" cm="1">
        <f t="array" ref="S341">_xlfn.IFS(L341&gt;=8,"HIGH",L341&gt;=5,"MEDIUM",L341&lt;5,"LOW")</f>
        <v>LOW</v>
      </c>
      <c r="T341" s="1" t="str">
        <f t="shared" si="32"/>
        <v>Low</v>
      </c>
    </row>
    <row r="342" spans="1:20" x14ac:dyDescent="0.35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  <c r="O342" s="1">
        <f t="shared" si="28"/>
        <v>26727.3</v>
      </c>
      <c r="P342" s="1">
        <f t="shared" si="29"/>
        <v>2672.73</v>
      </c>
      <c r="Q342" s="1">
        <f t="shared" si="30"/>
        <v>24054.57</v>
      </c>
      <c r="R342" s="1" t="str">
        <f t="shared" si="31"/>
        <v>HIGH</v>
      </c>
      <c r="S342" s="1" t="str" cm="1">
        <f t="array" ref="S342">_xlfn.IFS(L342&gt;=8,"HIGH",L342&gt;=5,"MEDIUM",L342&lt;5,"LOW")</f>
        <v>HIGH</v>
      </c>
      <c r="T342" s="1" t="str">
        <f t="shared" si="32"/>
        <v>Medium</v>
      </c>
    </row>
    <row r="343" spans="1:20" x14ac:dyDescent="0.35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  <c r="O343" s="1">
        <f t="shared" si="28"/>
        <v>7808.88</v>
      </c>
      <c r="P343" s="1">
        <f t="shared" si="29"/>
        <v>780.88800000000003</v>
      </c>
      <c r="Q343" s="1">
        <f t="shared" si="30"/>
        <v>7027.9920000000002</v>
      </c>
      <c r="R343" s="1" t="str">
        <f t="shared" si="31"/>
        <v>LOW</v>
      </c>
      <c r="S343" s="1" t="str" cm="1">
        <f t="array" ref="S343">_xlfn.IFS(L343&gt;=8,"HIGH",L343&gt;=5,"MEDIUM",L343&lt;5,"LOW")</f>
        <v>LOW</v>
      </c>
      <c r="T343" s="1" t="str">
        <f t="shared" si="32"/>
        <v>Low</v>
      </c>
    </row>
    <row r="344" spans="1:20" x14ac:dyDescent="0.35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68</v>
      </c>
      <c r="K344" s="1" t="s">
        <v>27</v>
      </c>
      <c r="L344" s="1">
        <v>4</v>
      </c>
      <c r="M344" s="1">
        <v>3871.21</v>
      </c>
      <c r="N344" s="1">
        <v>10</v>
      </c>
      <c r="O344" s="1">
        <f t="shared" si="28"/>
        <v>15484.84</v>
      </c>
      <c r="P344" s="1">
        <f t="shared" si="29"/>
        <v>1548.4839999999999</v>
      </c>
      <c r="Q344" s="1">
        <f t="shared" si="30"/>
        <v>13936.356</v>
      </c>
      <c r="R344" s="1" t="str">
        <f t="shared" si="31"/>
        <v>HIGH</v>
      </c>
      <c r="S344" s="1" t="str" cm="1">
        <f t="array" ref="S344">_xlfn.IFS(L344&gt;=8,"HIGH",L344&gt;=5,"MEDIUM",L344&lt;5,"LOW")</f>
        <v>LOW</v>
      </c>
      <c r="T344" s="1" t="str">
        <f t="shared" si="32"/>
        <v>Medium</v>
      </c>
    </row>
    <row r="345" spans="1:20" x14ac:dyDescent="0.35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  <c r="O345" s="1">
        <f t="shared" si="28"/>
        <v>17977.82</v>
      </c>
      <c r="P345" s="1">
        <f t="shared" si="29"/>
        <v>1797.7820000000002</v>
      </c>
      <c r="Q345" s="1">
        <f t="shared" si="30"/>
        <v>16180.038</v>
      </c>
      <c r="R345" s="1" t="str">
        <f t="shared" si="31"/>
        <v>HIGH</v>
      </c>
      <c r="S345" s="1" t="str" cm="1">
        <f t="array" ref="S345">_xlfn.IFS(L345&gt;=8,"HIGH",L345&gt;=5,"MEDIUM",L345&lt;5,"LOW")</f>
        <v>MEDIUM</v>
      </c>
      <c r="T345" s="1" t="str">
        <f t="shared" si="32"/>
        <v>Medium</v>
      </c>
    </row>
    <row r="346" spans="1:20" x14ac:dyDescent="0.35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67</v>
      </c>
      <c r="K346" s="1" t="s">
        <v>27</v>
      </c>
      <c r="L346" s="1">
        <v>1</v>
      </c>
      <c r="M346" s="1">
        <v>1574.59</v>
      </c>
      <c r="N346" s="1">
        <v>5</v>
      </c>
      <c r="O346" s="1">
        <f t="shared" si="28"/>
        <v>1574.59</v>
      </c>
      <c r="P346" s="1">
        <f t="shared" si="29"/>
        <v>78.729500000000002</v>
      </c>
      <c r="Q346" s="1">
        <f t="shared" si="30"/>
        <v>1495.8605</v>
      </c>
      <c r="R346" s="1" t="str">
        <f t="shared" si="31"/>
        <v>LOW</v>
      </c>
      <c r="S346" s="1" t="str" cm="1">
        <f t="array" ref="S346">_xlfn.IFS(L346&gt;=8,"HIGH",L346&gt;=5,"MEDIUM",L346&lt;5,"LOW")</f>
        <v>LOW</v>
      </c>
      <c r="T346" s="1" t="str">
        <f t="shared" si="32"/>
        <v>Low</v>
      </c>
    </row>
    <row r="347" spans="1:20" x14ac:dyDescent="0.35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  <c r="O347" s="1">
        <f t="shared" si="28"/>
        <v>28724.04</v>
      </c>
      <c r="P347" s="1">
        <f t="shared" si="29"/>
        <v>5744.8080000000009</v>
      </c>
      <c r="Q347" s="1">
        <f t="shared" si="30"/>
        <v>22979.232</v>
      </c>
      <c r="R347" s="1" t="str">
        <f t="shared" si="31"/>
        <v>HIGH</v>
      </c>
      <c r="S347" s="1" t="str" cm="1">
        <f t="array" ref="S347">_xlfn.IFS(L347&gt;=8,"HIGH",L347&gt;=5,"MEDIUM",L347&lt;5,"LOW")</f>
        <v>HIGH</v>
      </c>
      <c r="T347" s="1" t="str">
        <f t="shared" si="32"/>
        <v>High</v>
      </c>
    </row>
    <row r="348" spans="1:20" x14ac:dyDescent="0.35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  <c r="O348" s="1">
        <f t="shared" si="28"/>
        <v>2748.46</v>
      </c>
      <c r="P348" s="1">
        <f t="shared" si="29"/>
        <v>0</v>
      </c>
      <c r="Q348" s="1">
        <f t="shared" si="30"/>
        <v>2748.46</v>
      </c>
      <c r="R348" s="1" t="str">
        <f t="shared" si="31"/>
        <v>LOW</v>
      </c>
      <c r="S348" s="1" t="str" cm="1">
        <f t="array" ref="S348">_xlfn.IFS(L348&gt;=8,"HIGH",L348&gt;=5,"MEDIUM",L348&lt;5,"LOW")</f>
        <v>LOW</v>
      </c>
      <c r="T348" s="1" t="str">
        <f t="shared" si="32"/>
        <v>Low</v>
      </c>
    </row>
    <row r="349" spans="1:20" x14ac:dyDescent="0.35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  <c r="O349" s="1">
        <f t="shared" si="28"/>
        <v>7403.3</v>
      </c>
      <c r="P349" s="1">
        <f t="shared" si="29"/>
        <v>0</v>
      </c>
      <c r="Q349" s="1">
        <f t="shared" si="30"/>
        <v>7403.3</v>
      </c>
      <c r="R349" s="1" t="str">
        <f t="shared" si="31"/>
        <v>LOW</v>
      </c>
      <c r="S349" s="1" t="str" cm="1">
        <f t="array" ref="S349">_xlfn.IFS(L349&gt;=8,"HIGH",L349&gt;=5,"MEDIUM",L349&lt;5,"LOW")</f>
        <v>MEDIUM</v>
      </c>
      <c r="T349" s="1" t="str">
        <f t="shared" si="32"/>
        <v>Low</v>
      </c>
    </row>
    <row r="350" spans="1:20" x14ac:dyDescent="0.35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  <c r="O350" s="1">
        <f t="shared" si="28"/>
        <v>445.38</v>
      </c>
      <c r="P350" s="1">
        <f t="shared" si="29"/>
        <v>44.538000000000004</v>
      </c>
      <c r="Q350" s="1">
        <f t="shared" si="30"/>
        <v>400.84199999999998</v>
      </c>
      <c r="R350" s="1" t="str">
        <f t="shared" si="31"/>
        <v>LOW</v>
      </c>
      <c r="S350" s="1" t="str" cm="1">
        <f t="array" ref="S350">_xlfn.IFS(L350&gt;=8,"HIGH",L350&gt;=5,"MEDIUM",L350&lt;5,"LOW")</f>
        <v>LOW</v>
      </c>
      <c r="T350" s="1" t="str">
        <f t="shared" si="32"/>
        <v>Low</v>
      </c>
    </row>
    <row r="351" spans="1:20" x14ac:dyDescent="0.35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  <c r="O351" s="1">
        <f t="shared" si="28"/>
        <v>10361.6</v>
      </c>
      <c r="P351" s="1">
        <f t="shared" si="29"/>
        <v>1554.24</v>
      </c>
      <c r="Q351" s="1">
        <f t="shared" si="30"/>
        <v>8807.36</v>
      </c>
      <c r="R351" s="1" t="str">
        <f t="shared" si="31"/>
        <v>LOW</v>
      </c>
      <c r="S351" s="1" t="str" cm="1">
        <f t="array" ref="S351">_xlfn.IFS(L351&gt;=8,"HIGH",L351&gt;=5,"MEDIUM",L351&lt;5,"LOW")</f>
        <v>MEDIUM</v>
      </c>
      <c r="T351" s="1" t="str">
        <f t="shared" si="32"/>
        <v>Medium</v>
      </c>
    </row>
    <row r="352" spans="1:20" x14ac:dyDescent="0.35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  <c r="O352" s="1">
        <f t="shared" si="28"/>
        <v>559.4</v>
      </c>
      <c r="P352" s="1">
        <f t="shared" si="29"/>
        <v>111.88</v>
      </c>
      <c r="Q352" s="1">
        <f t="shared" si="30"/>
        <v>447.52</v>
      </c>
      <c r="R352" s="1" t="str">
        <f t="shared" si="31"/>
        <v>LOW</v>
      </c>
      <c r="S352" s="1" t="str" cm="1">
        <f t="array" ref="S352">_xlfn.IFS(L352&gt;=8,"HIGH",L352&gt;=5,"MEDIUM",L352&lt;5,"LOW")</f>
        <v>LOW</v>
      </c>
      <c r="T352" s="1" t="str">
        <f t="shared" si="32"/>
        <v>Low</v>
      </c>
    </row>
    <row r="353" spans="1:20" x14ac:dyDescent="0.35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  <c r="O353" s="1">
        <f t="shared" si="28"/>
        <v>2357.7600000000002</v>
      </c>
      <c r="P353" s="1">
        <f t="shared" si="29"/>
        <v>471.55200000000002</v>
      </c>
      <c r="Q353" s="1">
        <f t="shared" si="30"/>
        <v>1886.2080000000001</v>
      </c>
      <c r="R353" s="1" t="str">
        <f t="shared" si="31"/>
        <v>LOW</v>
      </c>
      <c r="S353" s="1" t="str" cm="1">
        <f t="array" ref="S353">_xlfn.IFS(L353&gt;=8,"HIGH",L353&gt;=5,"MEDIUM",L353&lt;5,"LOW")</f>
        <v>LOW</v>
      </c>
      <c r="T353" s="1" t="str">
        <f t="shared" si="32"/>
        <v>Low</v>
      </c>
    </row>
    <row r="354" spans="1:20" x14ac:dyDescent="0.35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  <c r="O354" s="1">
        <f t="shared" si="28"/>
        <v>22638.239999999998</v>
      </c>
      <c r="P354" s="1">
        <f t="shared" si="29"/>
        <v>0</v>
      </c>
      <c r="Q354" s="1">
        <f t="shared" si="30"/>
        <v>22638.239999999998</v>
      </c>
      <c r="R354" s="1" t="str">
        <f t="shared" si="31"/>
        <v>HIGH</v>
      </c>
      <c r="S354" s="1" t="str" cm="1">
        <f t="array" ref="S354">_xlfn.IFS(L354&gt;=8,"HIGH",L354&gt;=5,"MEDIUM",L354&lt;5,"LOW")</f>
        <v>MEDIUM</v>
      </c>
      <c r="T354" s="1" t="str">
        <f t="shared" si="32"/>
        <v>Low</v>
      </c>
    </row>
    <row r="355" spans="1:20" x14ac:dyDescent="0.35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  <c r="O355" s="1">
        <f t="shared" si="28"/>
        <v>17014.77</v>
      </c>
      <c r="P355" s="1">
        <f t="shared" si="29"/>
        <v>2552.2155000000002</v>
      </c>
      <c r="Q355" s="1">
        <f t="shared" si="30"/>
        <v>14462.5545</v>
      </c>
      <c r="R355" s="1" t="str">
        <f t="shared" si="31"/>
        <v>HIGH</v>
      </c>
      <c r="S355" s="1" t="str" cm="1">
        <f t="array" ref="S355">_xlfn.IFS(L355&gt;=8,"HIGH",L355&gt;=5,"MEDIUM",L355&lt;5,"LOW")</f>
        <v>HIGH</v>
      </c>
      <c r="T355" s="1" t="str">
        <f t="shared" si="32"/>
        <v>Medium</v>
      </c>
    </row>
    <row r="356" spans="1:20" x14ac:dyDescent="0.35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  <c r="O356" s="1">
        <f t="shared" si="28"/>
        <v>1205.76</v>
      </c>
      <c r="P356" s="1">
        <f t="shared" si="29"/>
        <v>60.288000000000004</v>
      </c>
      <c r="Q356" s="1">
        <f t="shared" si="30"/>
        <v>1145.472</v>
      </c>
      <c r="R356" s="1" t="str">
        <f t="shared" si="31"/>
        <v>LOW</v>
      </c>
      <c r="S356" s="1" t="str" cm="1">
        <f t="array" ref="S356">_xlfn.IFS(L356&gt;=8,"HIGH",L356&gt;=5,"MEDIUM",L356&lt;5,"LOW")</f>
        <v>HIGH</v>
      </c>
      <c r="T356" s="1" t="str">
        <f t="shared" si="32"/>
        <v>Low</v>
      </c>
    </row>
    <row r="357" spans="1:20" x14ac:dyDescent="0.35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  <c r="O357" s="1">
        <f t="shared" si="28"/>
        <v>12616.25</v>
      </c>
      <c r="P357" s="1">
        <f t="shared" si="29"/>
        <v>1261.625</v>
      </c>
      <c r="Q357" s="1">
        <f t="shared" si="30"/>
        <v>11354.625</v>
      </c>
      <c r="R357" s="1" t="str">
        <f t="shared" si="31"/>
        <v>HIGH</v>
      </c>
      <c r="S357" s="1" t="str" cm="1">
        <f t="array" ref="S357">_xlfn.IFS(L357&gt;=8,"HIGH",L357&gt;=5,"MEDIUM",L357&lt;5,"LOW")</f>
        <v>MEDIUM</v>
      </c>
      <c r="T357" s="1" t="str">
        <f t="shared" si="32"/>
        <v>Low</v>
      </c>
    </row>
    <row r="358" spans="1:20" x14ac:dyDescent="0.35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  <c r="O358" s="1">
        <f t="shared" si="28"/>
        <v>5070</v>
      </c>
      <c r="P358" s="1">
        <f t="shared" si="29"/>
        <v>760.5</v>
      </c>
      <c r="Q358" s="1">
        <f t="shared" si="30"/>
        <v>4309.5</v>
      </c>
      <c r="R358" s="1" t="str">
        <f t="shared" si="31"/>
        <v>LOW</v>
      </c>
      <c r="S358" s="1" t="str" cm="1">
        <f t="array" ref="S358">_xlfn.IFS(L358&gt;=8,"HIGH",L358&gt;=5,"MEDIUM",L358&lt;5,"LOW")</f>
        <v>MEDIUM</v>
      </c>
      <c r="T358" s="1" t="str">
        <f t="shared" si="32"/>
        <v>Low</v>
      </c>
    </row>
    <row r="359" spans="1:20" x14ac:dyDescent="0.35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  <c r="O359" s="1">
        <f t="shared" si="28"/>
        <v>9284.08</v>
      </c>
      <c r="P359" s="1">
        <f t="shared" si="29"/>
        <v>0</v>
      </c>
      <c r="Q359" s="1">
        <f t="shared" si="30"/>
        <v>9284.08</v>
      </c>
      <c r="R359" s="1" t="str">
        <f t="shared" si="31"/>
        <v>LOW</v>
      </c>
      <c r="S359" s="1" t="str" cm="1">
        <f t="array" ref="S359">_xlfn.IFS(L359&gt;=8,"HIGH",L359&gt;=5,"MEDIUM",L359&lt;5,"LOW")</f>
        <v>HIGH</v>
      </c>
      <c r="T359" s="1" t="str">
        <f t="shared" si="32"/>
        <v>Low</v>
      </c>
    </row>
    <row r="360" spans="1:20" x14ac:dyDescent="0.35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66</v>
      </c>
      <c r="K360" s="1" t="s">
        <v>32</v>
      </c>
      <c r="L360" s="1">
        <v>7</v>
      </c>
      <c r="M360" s="1">
        <v>2172.2399999999998</v>
      </c>
      <c r="N360" s="1">
        <v>20</v>
      </c>
      <c r="O360" s="1">
        <f t="shared" si="28"/>
        <v>15205.679999999998</v>
      </c>
      <c r="P360" s="1">
        <f t="shared" si="29"/>
        <v>3041.136</v>
      </c>
      <c r="Q360" s="1">
        <f t="shared" si="30"/>
        <v>12164.543999999998</v>
      </c>
      <c r="R360" s="1" t="str">
        <f t="shared" si="31"/>
        <v>HIGH</v>
      </c>
      <c r="S360" s="1" t="str" cm="1">
        <f t="array" ref="S360">_xlfn.IFS(L360&gt;=8,"HIGH",L360&gt;=5,"MEDIUM",L360&lt;5,"LOW")</f>
        <v>MEDIUM</v>
      </c>
      <c r="T360" s="1" t="str">
        <f t="shared" si="32"/>
        <v>High</v>
      </c>
    </row>
    <row r="361" spans="1:20" x14ac:dyDescent="0.35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  <c r="O361" s="1">
        <f t="shared" si="28"/>
        <v>2589.6799999999998</v>
      </c>
      <c r="P361" s="1">
        <f t="shared" si="29"/>
        <v>388.452</v>
      </c>
      <c r="Q361" s="1">
        <f t="shared" si="30"/>
        <v>2201.2280000000001</v>
      </c>
      <c r="R361" s="1" t="str">
        <f t="shared" si="31"/>
        <v>LOW</v>
      </c>
      <c r="S361" s="1" t="str" cm="1">
        <f t="array" ref="S361">_xlfn.IFS(L361&gt;=8,"HIGH",L361&gt;=5,"MEDIUM",L361&lt;5,"LOW")</f>
        <v>LOW</v>
      </c>
      <c r="T361" s="1" t="str">
        <f t="shared" si="32"/>
        <v>Low</v>
      </c>
    </row>
    <row r="362" spans="1:20" x14ac:dyDescent="0.35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  <c r="O362" s="1">
        <f t="shared" si="28"/>
        <v>6981.93</v>
      </c>
      <c r="P362" s="1">
        <f t="shared" si="29"/>
        <v>0</v>
      </c>
      <c r="Q362" s="1">
        <f t="shared" si="30"/>
        <v>6981.93</v>
      </c>
      <c r="R362" s="1" t="str">
        <f t="shared" si="31"/>
        <v>LOW</v>
      </c>
      <c r="S362" s="1" t="str" cm="1">
        <f t="array" ref="S362">_xlfn.IFS(L362&gt;=8,"HIGH",L362&gt;=5,"MEDIUM",L362&lt;5,"LOW")</f>
        <v>HIGH</v>
      </c>
      <c r="T362" s="1" t="str">
        <f t="shared" si="32"/>
        <v>Low</v>
      </c>
    </row>
    <row r="363" spans="1:20" x14ac:dyDescent="0.35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  <c r="O363" s="1">
        <f t="shared" si="28"/>
        <v>11004.56</v>
      </c>
      <c r="P363" s="1">
        <f t="shared" si="29"/>
        <v>2200.9119999999998</v>
      </c>
      <c r="Q363" s="1">
        <f t="shared" si="30"/>
        <v>8803.6479999999992</v>
      </c>
      <c r="R363" s="1" t="str">
        <f t="shared" si="31"/>
        <v>LOW</v>
      </c>
      <c r="S363" s="1" t="str" cm="1">
        <f t="array" ref="S363">_xlfn.IFS(L363&gt;=8,"HIGH",L363&gt;=5,"MEDIUM",L363&lt;5,"LOW")</f>
        <v>LOW</v>
      </c>
      <c r="T363" s="1" t="str">
        <f t="shared" si="32"/>
        <v>Medium</v>
      </c>
    </row>
    <row r="364" spans="1:20" x14ac:dyDescent="0.35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  <c r="O364" s="1">
        <f t="shared" si="28"/>
        <v>20295.04</v>
      </c>
      <c r="P364" s="1">
        <f t="shared" si="29"/>
        <v>1014.7520000000001</v>
      </c>
      <c r="Q364" s="1">
        <f t="shared" si="30"/>
        <v>19280.288</v>
      </c>
      <c r="R364" s="1" t="str">
        <f t="shared" si="31"/>
        <v>HIGH</v>
      </c>
      <c r="S364" s="1" t="str" cm="1">
        <f t="array" ref="S364">_xlfn.IFS(L364&gt;=8,"HIGH",L364&gt;=5,"MEDIUM",L364&lt;5,"LOW")</f>
        <v>HIGH</v>
      </c>
      <c r="T364" s="1" t="str">
        <f t="shared" si="32"/>
        <v>Low</v>
      </c>
    </row>
    <row r="365" spans="1:20" x14ac:dyDescent="0.35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  <c r="O365" s="1">
        <f t="shared" si="28"/>
        <v>19866.419999999998</v>
      </c>
      <c r="P365" s="1">
        <f t="shared" si="29"/>
        <v>3973.2839999999997</v>
      </c>
      <c r="Q365" s="1">
        <f t="shared" si="30"/>
        <v>15893.135999999999</v>
      </c>
      <c r="R365" s="1" t="str">
        <f t="shared" si="31"/>
        <v>HIGH</v>
      </c>
      <c r="S365" s="1" t="str" cm="1">
        <f t="array" ref="S365">_xlfn.IFS(L365&gt;=8,"HIGH",L365&gt;=5,"MEDIUM",L365&lt;5,"LOW")</f>
        <v>MEDIUM</v>
      </c>
      <c r="T365" s="1" t="str">
        <f t="shared" si="32"/>
        <v>High</v>
      </c>
    </row>
    <row r="366" spans="1:20" x14ac:dyDescent="0.35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  <c r="O366" s="1">
        <f t="shared" si="28"/>
        <v>4887.1499999999996</v>
      </c>
      <c r="P366" s="1">
        <f t="shared" si="29"/>
        <v>977.43</v>
      </c>
      <c r="Q366" s="1">
        <f t="shared" si="30"/>
        <v>3909.72</v>
      </c>
      <c r="R366" s="1" t="str">
        <f t="shared" si="31"/>
        <v>LOW</v>
      </c>
      <c r="S366" s="1" t="str" cm="1">
        <f t="array" ref="S366">_xlfn.IFS(L366&gt;=8,"HIGH",L366&gt;=5,"MEDIUM",L366&lt;5,"LOW")</f>
        <v>MEDIUM</v>
      </c>
      <c r="T366" s="1" t="str">
        <f t="shared" si="32"/>
        <v>Low</v>
      </c>
    </row>
    <row r="367" spans="1:20" x14ac:dyDescent="0.35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67</v>
      </c>
      <c r="K367" s="1" t="s">
        <v>27</v>
      </c>
      <c r="L367" s="1">
        <v>7</v>
      </c>
      <c r="M367" s="1">
        <v>1550.03</v>
      </c>
      <c r="N367" s="1">
        <v>10</v>
      </c>
      <c r="O367" s="1">
        <f t="shared" si="28"/>
        <v>10850.21</v>
      </c>
      <c r="P367" s="1">
        <f t="shared" si="29"/>
        <v>1085.021</v>
      </c>
      <c r="Q367" s="1">
        <f t="shared" si="30"/>
        <v>9765.1889999999985</v>
      </c>
      <c r="R367" s="1" t="str">
        <f t="shared" si="31"/>
        <v>LOW</v>
      </c>
      <c r="S367" s="1" t="str" cm="1">
        <f t="array" ref="S367">_xlfn.IFS(L367&gt;=8,"HIGH",L367&gt;=5,"MEDIUM",L367&lt;5,"LOW")</f>
        <v>MEDIUM</v>
      </c>
      <c r="T367" s="1" t="str">
        <f t="shared" si="32"/>
        <v>Low</v>
      </c>
    </row>
    <row r="368" spans="1:20" x14ac:dyDescent="0.35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66</v>
      </c>
      <c r="K368" s="1" t="s">
        <v>44</v>
      </c>
      <c r="L368" s="1">
        <v>5</v>
      </c>
      <c r="M368" s="1">
        <v>529.59</v>
      </c>
      <c r="N368" s="1">
        <v>5</v>
      </c>
      <c r="O368" s="1">
        <f t="shared" si="28"/>
        <v>2647.9500000000003</v>
      </c>
      <c r="P368" s="1">
        <f t="shared" si="29"/>
        <v>132.39750000000001</v>
      </c>
      <c r="Q368" s="1">
        <f t="shared" si="30"/>
        <v>2515.5525000000002</v>
      </c>
      <c r="R368" s="1" t="str">
        <f t="shared" si="31"/>
        <v>LOW</v>
      </c>
      <c r="S368" s="1" t="str" cm="1">
        <f t="array" ref="S368">_xlfn.IFS(L368&gt;=8,"HIGH",L368&gt;=5,"MEDIUM",L368&lt;5,"LOW")</f>
        <v>MEDIUM</v>
      </c>
      <c r="T368" s="1" t="str">
        <f t="shared" si="32"/>
        <v>Low</v>
      </c>
    </row>
    <row r="369" spans="1:20" x14ac:dyDescent="0.35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  <c r="O369" s="1">
        <f t="shared" si="28"/>
        <v>4787.5200000000004</v>
      </c>
      <c r="P369" s="1">
        <f t="shared" si="29"/>
        <v>0</v>
      </c>
      <c r="Q369" s="1">
        <f t="shared" si="30"/>
        <v>4787.5200000000004</v>
      </c>
      <c r="R369" s="1" t="str">
        <f t="shared" si="31"/>
        <v>LOW</v>
      </c>
      <c r="S369" s="1" t="str" cm="1">
        <f t="array" ref="S369">_xlfn.IFS(L369&gt;=8,"HIGH",L369&gt;=5,"MEDIUM",L369&lt;5,"LOW")</f>
        <v>HIGH</v>
      </c>
      <c r="T369" s="1" t="str">
        <f t="shared" si="32"/>
        <v>Low</v>
      </c>
    </row>
    <row r="370" spans="1:20" x14ac:dyDescent="0.35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  <c r="O370" s="1">
        <f t="shared" si="28"/>
        <v>6773.4600000000009</v>
      </c>
      <c r="P370" s="1">
        <f t="shared" si="29"/>
        <v>1354.692</v>
      </c>
      <c r="Q370" s="1">
        <f t="shared" si="30"/>
        <v>5418.7680000000009</v>
      </c>
      <c r="R370" s="1" t="str">
        <f t="shared" si="31"/>
        <v>LOW</v>
      </c>
      <c r="S370" s="1" t="str" cm="1">
        <f t="array" ref="S370">_xlfn.IFS(L370&gt;=8,"HIGH",L370&gt;=5,"MEDIUM",L370&lt;5,"LOW")</f>
        <v>MEDIUM</v>
      </c>
      <c r="T370" s="1" t="str">
        <f t="shared" si="32"/>
        <v>Low</v>
      </c>
    </row>
    <row r="371" spans="1:20" x14ac:dyDescent="0.35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  <c r="O371" s="1">
        <f t="shared" si="28"/>
        <v>6437.75</v>
      </c>
      <c r="P371" s="1">
        <f t="shared" si="29"/>
        <v>0</v>
      </c>
      <c r="Q371" s="1">
        <f t="shared" si="30"/>
        <v>6437.75</v>
      </c>
      <c r="R371" s="1" t="str">
        <f t="shared" si="31"/>
        <v>LOW</v>
      </c>
      <c r="S371" s="1" t="str" cm="1">
        <f t="array" ref="S371">_xlfn.IFS(L371&gt;=8,"HIGH",L371&gt;=5,"MEDIUM",L371&lt;5,"LOW")</f>
        <v>MEDIUM</v>
      </c>
      <c r="T371" s="1" t="str">
        <f t="shared" si="32"/>
        <v>Low</v>
      </c>
    </row>
    <row r="372" spans="1:20" x14ac:dyDescent="0.35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  <c r="O372" s="1">
        <f t="shared" si="28"/>
        <v>19713.509999999998</v>
      </c>
      <c r="P372" s="1">
        <f t="shared" si="29"/>
        <v>3942.7019999999993</v>
      </c>
      <c r="Q372" s="1">
        <f t="shared" si="30"/>
        <v>15770.807999999999</v>
      </c>
      <c r="R372" s="1" t="str">
        <f t="shared" si="31"/>
        <v>HIGH</v>
      </c>
      <c r="S372" s="1" t="str" cm="1">
        <f t="array" ref="S372">_xlfn.IFS(L372&gt;=8,"HIGH",L372&gt;=5,"MEDIUM",L372&lt;5,"LOW")</f>
        <v>HIGH</v>
      </c>
      <c r="T372" s="1" t="str">
        <f t="shared" si="32"/>
        <v>High</v>
      </c>
    </row>
    <row r="373" spans="1:20" x14ac:dyDescent="0.35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  <c r="O373" s="1">
        <f t="shared" si="28"/>
        <v>2432.17</v>
      </c>
      <c r="P373" s="1">
        <f t="shared" si="29"/>
        <v>486.43400000000003</v>
      </c>
      <c r="Q373" s="1">
        <f t="shared" si="30"/>
        <v>1945.7360000000001</v>
      </c>
      <c r="R373" s="1" t="str">
        <f t="shared" si="31"/>
        <v>LOW</v>
      </c>
      <c r="S373" s="1" t="str" cm="1">
        <f t="array" ref="S373">_xlfn.IFS(L373&gt;=8,"HIGH",L373&gt;=5,"MEDIUM",L373&lt;5,"LOW")</f>
        <v>LOW</v>
      </c>
      <c r="T373" s="1" t="str">
        <f t="shared" si="32"/>
        <v>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4BAF-F33E-4624-A034-E66BF613B88F}">
  <dimension ref="A1:G6"/>
  <sheetViews>
    <sheetView workbookViewId="0">
      <selection activeCell="G3" sqref="G3"/>
    </sheetView>
  </sheetViews>
  <sheetFormatPr defaultRowHeight="14.5" x14ac:dyDescent="0.35"/>
  <cols>
    <col min="1" max="1" width="15.26953125" customWidth="1"/>
  </cols>
  <sheetData>
    <row r="1" spans="1:7" x14ac:dyDescent="0.3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</row>
    <row r="2" spans="1:7" x14ac:dyDescent="0.35">
      <c r="A2" s="1" t="s">
        <v>83</v>
      </c>
      <c r="B2" s="1">
        <v>95</v>
      </c>
      <c r="C2" s="1">
        <v>97</v>
      </c>
      <c r="D2" s="1">
        <v>88</v>
      </c>
      <c r="E2" s="1">
        <f>SUM(B2:D2)</f>
        <v>280</v>
      </c>
      <c r="F2" s="1">
        <f>E2/3</f>
        <v>93.333333333333329</v>
      </c>
      <c r="G2" s="1" t="str">
        <f>IF(F2&gt;=90,"A",IF(F2&gt;=70,"B",IF(F2&gt;=50,"C",IF(F2&gt;=40,"Pass","Fail"))))</f>
        <v>A</v>
      </c>
    </row>
    <row r="3" spans="1:7" x14ac:dyDescent="0.35">
      <c r="A3" s="1" t="s">
        <v>84</v>
      </c>
      <c r="B3" s="1">
        <v>94</v>
      </c>
      <c r="C3" s="1">
        <v>99</v>
      </c>
      <c r="D3" s="1">
        <v>45</v>
      </c>
      <c r="E3" s="1">
        <f t="shared" ref="E3:E6" si="0">SUM(B3:D3)</f>
        <v>238</v>
      </c>
      <c r="F3" s="1">
        <f t="shared" ref="F3:F6" si="1">E3/3</f>
        <v>79.333333333333329</v>
      </c>
      <c r="G3" s="1" t="str">
        <f t="shared" ref="G3:G6" si="2">IF(F3&gt;=90,"A",IF(F3&gt;=70,"B",IF(F3&gt;=50,"C",IF(F3&gt;=40,"Pass","Fail"))))</f>
        <v>B</v>
      </c>
    </row>
    <row r="4" spans="1:7" x14ac:dyDescent="0.35">
      <c r="A4" s="1" t="s">
        <v>85</v>
      </c>
      <c r="B4" s="1">
        <v>56</v>
      </c>
      <c r="C4" s="1">
        <v>66</v>
      </c>
      <c r="D4" s="1">
        <v>76</v>
      </c>
      <c r="E4" s="1">
        <f t="shared" si="0"/>
        <v>198</v>
      </c>
      <c r="F4" s="1">
        <f t="shared" si="1"/>
        <v>66</v>
      </c>
      <c r="G4" s="1" t="str">
        <f t="shared" si="2"/>
        <v>C</v>
      </c>
    </row>
    <row r="5" spans="1:7" x14ac:dyDescent="0.35">
      <c r="A5" s="1" t="s">
        <v>86</v>
      </c>
      <c r="B5" s="1">
        <v>42</v>
      </c>
      <c r="C5" s="1">
        <v>43</v>
      </c>
      <c r="D5" s="1">
        <v>55</v>
      </c>
      <c r="E5" s="1">
        <f t="shared" si="0"/>
        <v>140</v>
      </c>
      <c r="F5" s="1">
        <f t="shared" si="1"/>
        <v>46.666666666666664</v>
      </c>
      <c r="G5" s="1" t="str">
        <f t="shared" si="2"/>
        <v>Pass</v>
      </c>
    </row>
    <row r="6" spans="1:7" x14ac:dyDescent="0.35">
      <c r="A6" s="1" t="s">
        <v>82</v>
      </c>
      <c r="B6" s="1">
        <v>32</v>
      </c>
      <c r="C6" s="1">
        <v>40</v>
      </c>
      <c r="D6" s="1">
        <v>35</v>
      </c>
      <c r="E6" s="1">
        <f t="shared" si="0"/>
        <v>107</v>
      </c>
      <c r="F6" s="1">
        <f t="shared" si="1"/>
        <v>35.666666666666664</v>
      </c>
      <c r="G6" s="1" t="str">
        <f t="shared" si="2"/>
        <v>Fail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Amit Bikram Mishra</cp:lastModifiedBy>
  <dcterms:created xsi:type="dcterms:W3CDTF">2025-12-08T11:58:47Z</dcterms:created>
  <dcterms:modified xsi:type="dcterms:W3CDTF">2026-02-25T12:18:22Z</dcterms:modified>
</cp:coreProperties>
</file>