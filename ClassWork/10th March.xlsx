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F1F2F878-60DC-4851-B0D9-B3E3FDF0191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LOOKUP_LAB" sheetId="1" r:id="rId1"/>
    <sheet name="VLOOKUP_LA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2" l="1"/>
  <c r="H30" i="2"/>
  <c r="H29" i="2"/>
  <c r="H28" i="2"/>
  <c r="H27" i="2"/>
  <c r="H16" i="2"/>
  <c r="H17" i="2"/>
  <c r="H15" i="2"/>
  <c r="H14" i="2"/>
  <c r="H13" i="2"/>
  <c r="H12" i="2"/>
  <c r="F24" i="1"/>
  <c r="F23" i="1"/>
  <c r="F22" i="1"/>
  <c r="F21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<sst xmlns="http://schemas.openxmlformats.org/spreadsheetml/2006/main" count="121" uniqueCount="98">
  <si>
    <t>Product ID</t>
  </si>
  <si>
    <t>P101</t>
  </si>
  <si>
    <t>P102</t>
  </si>
  <si>
    <t>P103</t>
  </si>
  <si>
    <t>P104</t>
  </si>
  <si>
    <t>P105</t>
  </si>
  <si>
    <t>Product Name</t>
  </si>
  <si>
    <t>Laptop</t>
  </si>
  <si>
    <t>Mouse</t>
  </si>
  <si>
    <t>Keyboard</t>
  </si>
  <si>
    <t>Monitor</t>
  </si>
  <si>
    <t>Printer</t>
  </si>
  <si>
    <t>Price</t>
  </si>
  <si>
    <t>Stock</t>
  </si>
  <si>
    <t>Questions:</t>
  </si>
  <si>
    <t>1. Find the Price of product P103 using HLOOKUP.</t>
  </si>
  <si>
    <t>2. Find the Stock of P104.</t>
  </si>
  <si>
    <t>3. Retrieve Product Name of P101.</t>
  </si>
  <si>
    <t>4. If Product ID is entered in any cell, return the Price.</t>
  </si>
  <si>
    <t>5. If Product ID is entered in any cell, return the Stock.</t>
  </si>
  <si>
    <t>ID</t>
  </si>
  <si>
    <t>Name</t>
  </si>
  <si>
    <t>Course</t>
  </si>
  <si>
    <t>Fees</t>
  </si>
  <si>
    <t>C101</t>
  </si>
  <si>
    <t>Rohan</t>
  </si>
  <si>
    <t>Excel</t>
  </si>
  <si>
    <t>C102</t>
  </si>
  <si>
    <t>Ananya</t>
  </si>
  <si>
    <t>Power BI</t>
  </si>
  <si>
    <t>C103</t>
  </si>
  <si>
    <t>Vikram</t>
  </si>
  <si>
    <t>SQL</t>
  </si>
  <si>
    <t>C104</t>
  </si>
  <si>
    <t>Neha</t>
  </si>
  <si>
    <t>Python</t>
  </si>
  <si>
    <t>C105</t>
  </si>
  <si>
    <t>Aman</t>
  </si>
  <si>
    <t>Tableau</t>
  </si>
  <si>
    <t>1. Retrieve Course name for C103.</t>
  </si>
  <si>
    <t>2. Retrieve Fees for C104.</t>
  </si>
  <si>
    <t>3. If Course ID entered in any cell, display Name.</t>
  </si>
  <si>
    <t>4. If Course ID entered in any cell, display Fees.</t>
  </si>
  <si>
    <t>Emp ID</t>
  </si>
  <si>
    <t>Department</t>
  </si>
  <si>
    <t>Salary</t>
  </si>
  <si>
    <t>City</t>
  </si>
  <si>
    <t>E101</t>
  </si>
  <si>
    <t>Amit</t>
  </si>
  <si>
    <t>HR</t>
  </si>
  <si>
    <t>Delhi</t>
  </si>
  <si>
    <t>E102</t>
  </si>
  <si>
    <t>IT</t>
  </si>
  <si>
    <t>Mumbai</t>
  </si>
  <si>
    <t>E103</t>
  </si>
  <si>
    <t>Rahul</t>
  </si>
  <si>
    <t>Finance</t>
  </si>
  <si>
    <t>Kolkata</t>
  </si>
  <si>
    <t>E104</t>
  </si>
  <si>
    <t>Priya</t>
  </si>
  <si>
    <t>Bangalore</t>
  </si>
  <si>
    <t>E105</t>
  </si>
  <si>
    <t>Arjun</t>
  </si>
  <si>
    <t>Marketing</t>
  </si>
  <si>
    <t>Pune</t>
  </si>
  <si>
    <t>E106</t>
  </si>
  <si>
    <t>Riya</t>
  </si>
  <si>
    <t>E107</t>
  </si>
  <si>
    <t>Karan</t>
  </si>
  <si>
    <t>E108</t>
  </si>
  <si>
    <t>Sneha</t>
  </si>
  <si>
    <t>Chennai</t>
  </si>
  <si>
    <t>1. Find the Name of employee with Emp ID E104 using VLOOKUP.</t>
  </si>
  <si>
    <t>2. Find the Department of employee E103.</t>
  </si>
  <si>
    <t>3. Find the Salary of employee E108.</t>
  </si>
  <si>
    <t>4. Find the City of employee E105.</t>
  </si>
  <si>
    <t>5. If Emp ID is entered in any cell, retrieve the Salary automatically.</t>
  </si>
  <si>
    <t>6. If Emp ID is entered in any cell, retrieve the Department.</t>
  </si>
  <si>
    <t>Student ID</t>
  </si>
  <si>
    <t>Maths</t>
  </si>
  <si>
    <t>Science</t>
  </si>
  <si>
    <t>English</t>
  </si>
  <si>
    <t>S101</t>
  </si>
  <si>
    <t>Asha</t>
  </si>
  <si>
    <t>S102</t>
  </si>
  <si>
    <t>Ravi</t>
  </si>
  <si>
    <t>S103</t>
  </si>
  <si>
    <t>Meena</t>
  </si>
  <si>
    <t>S104</t>
  </si>
  <si>
    <t>S105</t>
  </si>
  <si>
    <t>Kiran</t>
  </si>
  <si>
    <t>1. Find Maths marks of S103.</t>
  </si>
  <si>
    <t>2. Find Science marks of S102.</t>
  </si>
  <si>
    <t>3. Find English marks of S105.</t>
  </si>
  <si>
    <t>4. If Student ID is entered in any cell, return the Name.</t>
  </si>
  <si>
    <t>5. Retrieve Science marks dynamically using Student ID in any cell.</t>
  </si>
  <si>
    <t>Solutions</t>
  </si>
  <si>
    <t>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</si>
</sst>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I19" sqref="I19"/>
    </sheetView>
  </sheetViews>
  <sheetFormatPr defaultRowHeight="14.5" x14ac:dyDescent="0.35"/>
  <cols>
    <col min="1" max="1" width="14.453125" customWidth="1"/>
  </cols>
  <sheetData>
    <row r="1" spans="1: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 x14ac:dyDescent="0.3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9" x14ac:dyDescent="0.35">
      <c r="A3" s="1" t="s">
        <v>12</v>
      </c>
      <c r="B3" s="2">
        <v>55000</v>
      </c>
      <c r="C3" s="2">
        <v>500</v>
      </c>
      <c r="D3" s="2">
        <v>1200</v>
      </c>
      <c r="E3" s="2">
        <v>9000</v>
      </c>
      <c r="F3" s="2">
        <v>7000</v>
      </c>
    </row>
    <row r="4" spans="1:9" x14ac:dyDescent="0.35">
      <c r="A4" s="1" t="s">
        <v>13</v>
      </c>
      <c r="B4" s="2">
        <v>25</v>
      </c>
      <c r="C4" s="2">
        <v>150</v>
      </c>
      <c r="D4" s="2">
        <v>80</v>
      </c>
      <c r="E4" s="2">
        <v>40</v>
      </c>
      <c r="F4" s="2">
        <v>35</v>
      </c>
    </row>
    <row r="6" spans="1:9" x14ac:dyDescent="0.35">
      <c r="A6" t="s">
        <v>14</v>
      </c>
      <c r="F6" s="4" t="s">
        <v>96</v>
      </c>
      <c r="G6" s="4"/>
      <c r="H6" s="4"/>
    </row>
    <row r="7" spans="1:9" x14ac:dyDescent="0.35">
      <c r="A7" t="s">
        <v>15</v>
      </c>
      <c r="F7" s="3">
        <f>HLOOKUP(D1,B1:F4,3,FALSE)</f>
        <v>1200</v>
      </c>
      <c r="G7" s="3"/>
      <c r="H7" s="3"/>
    </row>
    <row r="8" spans="1:9" x14ac:dyDescent="0.35">
      <c r="A8" t="s">
        <v>16</v>
      </c>
      <c r="F8" s="3">
        <f>HLOOKUP(E1,B1:F4,4,FALSE)</f>
        <v>40</v>
      </c>
      <c r="G8" s="3"/>
      <c r="H8" s="3"/>
    </row>
    <row r="9" spans="1:9" x14ac:dyDescent="0.35">
      <c r="A9" t="s">
        <v>17</v>
      </c>
      <c r="F9" s="3" t="str">
        <f>HLOOKUP(B1,B1:F4,2,FALSE)</f>
        <v>Laptop</v>
      </c>
      <c r="G9" s="3"/>
      <c r="H9" s="3"/>
    </row>
    <row r="10" spans="1:9" x14ac:dyDescent="0.35">
      <c r="A10" t="s">
        <v>18</v>
      </c>
      <c r="F10" s="3">
        <f>HLOOKUP(I10,B1:F4,3,FALSE)</f>
        <v>7000</v>
      </c>
      <c r="G10" s="3"/>
      <c r="H10" s="3"/>
      <c r="I10" t="s">
        <v>5</v>
      </c>
    </row>
    <row r="11" spans="1:9" x14ac:dyDescent="0.35">
      <c r="A11" t="s">
        <v>19</v>
      </c>
      <c r="F11" s="3">
        <f>HLOOKUP(I11,B1:F4,4,FALSE)</f>
        <v>150</v>
      </c>
      <c r="G11" s="3"/>
      <c r="H11" s="3"/>
      <c r="I11" t="s">
        <v>2</v>
      </c>
    </row>
    <row r="13" spans="1:9" x14ac:dyDescent="0.35">
      <c r="A13" s="1" t="s">
        <v>20</v>
      </c>
      <c r="B13" s="1" t="s">
        <v>21</v>
      </c>
      <c r="C13" s="1" t="s">
        <v>22</v>
      </c>
      <c r="D13" s="1" t="s">
        <v>23</v>
      </c>
    </row>
    <row r="14" spans="1:9" x14ac:dyDescent="0.35">
      <c r="A14" s="2" t="s">
        <v>24</v>
      </c>
      <c r="B14" s="2" t="s">
        <v>25</v>
      </c>
      <c r="C14" s="2" t="s">
        <v>26</v>
      </c>
      <c r="D14" s="2">
        <v>3000</v>
      </c>
    </row>
    <row r="15" spans="1:9" x14ac:dyDescent="0.35">
      <c r="A15" s="2" t="s">
        <v>27</v>
      </c>
      <c r="B15" s="2" t="s">
        <v>28</v>
      </c>
      <c r="C15" s="2" t="s">
        <v>29</v>
      </c>
      <c r="D15" s="2">
        <v>5000</v>
      </c>
    </row>
    <row r="16" spans="1:9" x14ac:dyDescent="0.35">
      <c r="A16" s="2" t="s">
        <v>30</v>
      </c>
      <c r="B16" s="2" t="s">
        <v>31</v>
      </c>
      <c r="C16" s="2" t="s">
        <v>32</v>
      </c>
      <c r="D16" s="2">
        <v>4000</v>
      </c>
    </row>
    <row r="17" spans="1:9" x14ac:dyDescent="0.35">
      <c r="A17" s="2" t="s">
        <v>33</v>
      </c>
      <c r="B17" s="2" t="s">
        <v>34</v>
      </c>
      <c r="C17" s="2" t="s">
        <v>35</v>
      </c>
      <c r="D17" s="2">
        <v>6000</v>
      </c>
    </row>
    <row r="18" spans="1:9" x14ac:dyDescent="0.35">
      <c r="A18" s="2" t="s">
        <v>36</v>
      </c>
      <c r="B18" s="2" t="s">
        <v>37</v>
      </c>
      <c r="C18" s="2" t="s">
        <v>38</v>
      </c>
      <c r="D18" s="2">
        <v>4500</v>
      </c>
    </row>
    <row r="20" spans="1:9" x14ac:dyDescent="0.35">
      <c r="A20" t="s">
        <v>14</v>
      </c>
      <c r="F20" s="4" t="s">
        <v>96</v>
      </c>
      <c r="G20" s="4"/>
      <c r="H20" s="4"/>
    </row>
    <row r="21" spans="1:9" x14ac:dyDescent="0.35">
      <c r="A21" t="s">
        <v>39</v>
      </c>
      <c r="F21" s="3" t="str">
        <f>VLOOKUP(A16,A14:D18,3,FALSE)</f>
        <v>SQL</v>
      </c>
      <c r="G21" s="3"/>
      <c r="H21" s="3"/>
    </row>
    <row r="22" spans="1:9" x14ac:dyDescent="0.35">
      <c r="A22" t="s">
        <v>40</v>
      </c>
      <c r="F22" s="3">
        <f>VLOOKUP(A17,$A$14:$D$18,4,FALSE)</f>
        <v>6000</v>
      </c>
      <c r="G22" s="3"/>
      <c r="H22" s="3"/>
    </row>
    <row r="23" spans="1:9" x14ac:dyDescent="0.35">
      <c r="A23" t="s">
        <v>41</v>
      </c>
      <c r="F23" s="3" t="str">
        <f>VLOOKUP(I23,$A$14:$D$18,2,FALSE)</f>
        <v>Rohan</v>
      </c>
      <c r="G23" s="3"/>
      <c r="H23" s="3"/>
      <c r="I23" t="s">
        <v>24</v>
      </c>
    </row>
    <row r="24" spans="1:9" x14ac:dyDescent="0.35">
      <c r="A24" t="s">
        <v>42</v>
      </c>
      <c r="F24" s="3">
        <f>VLOOKUP(I24,$A$14:$D$18,4,FALSE)</f>
        <v>5000</v>
      </c>
      <c r="G24" s="3"/>
      <c r="H24" s="3"/>
      <c r="I24" t="s">
        <v>27</v>
      </c>
    </row>
  </sheetData>
  <mergeCells count="11">
    <mergeCell ref="F20:H20"/>
    <mergeCell ref="F21:H21"/>
    <mergeCell ref="F22:H22"/>
    <mergeCell ref="F23:H23"/>
    <mergeCell ref="F24:H24"/>
    <mergeCell ref="F6:H6"/>
    <mergeCell ref="F7:H7"/>
    <mergeCell ref="F8:H8"/>
    <mergeCell ref="F9:H9"/>
    <mergeCell ref="F10:H10"/>
    <mergeCell ref="F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workbookViewId="0">
      <selection activeCell="H32" sqref="H32"/>
    </sheetView>
  </sheetViews>
  <sheetFormatPr defaultRowHeight="14.5" x14ac:dyDescent="0.35"/>
  <cols>
    <col min="1" max="1" width="10.1796875" customWidth="1"/>
    <col min="3" max="3" width="13.36328125" customWidth="1"/>
    <col min="5" max="5" width="10.453125" customWidth="1"/>
  </cols>
  <sheetData>
    <row r="1" spans="1:11" x14ac:dyDescent="0.35">
      <c r="A1" s="1" t="s">
        <v>43</v>
      </c>
      <c r="B1" s="1" t="s">
        <v>21</v>
      </c>
      <c r="C1" s="1" t="s">
        <v>44</v>
      </c>
      <c r="D1" s="1" t="s">
        <v>45</v>
      </c>
      <c r="E1" s="1" t="s">
        <v>46</v>
      </c>
    </row>
    <row r="2" spans="1:11" x14ac:dyDescent="0.35">
      <c r="A2" s="2" t="s">
        <v>47</v>
      </c>
      <c r="B2" s="2" t="s">
        <v>48</v>
      </c>
      <c r="C2" s="2" t="s">
        <v>49</v>
      </c>
      <c r="D2" s="2">
        <v>35000</v>
      </c>
      <c r="E2" s="2" t="s">
        <v>50</v>
      </c>
    </row>
    <row r="3" spans="1:11" x14ac:dyDescent="0.35">
      <c r="A3" s="2" t="s">
        <v>51</v>
      </c>
      <c r="B3" s="2" t="s">
        <v>34</v>
      </c>
      <c r="C3" s="2" t="s">
        <v>52</v>
      </c>
      <c r="D3" s="2">
        <v>50000</v>
      </c>
      <c r="E3" s="2" t="s">
        <v>53</v>
      </c>
    </row>
    <row r="4" spans="1:11" x14ac:dyDescent="0.35">
      <c r="A4" s="2" t="s">
        <v>54</v>
      </c>
      <c r="B4" s="2" t="s">
        <v>55</v>
      </c>
      <c r="C4" s="2" t="s">
        <v>56</v>
      </c>
      <c r="D4" s="2">
        <v>45000</v>
      </c>
      <c r="E4" s="2" t="s">
        <v>57</v>
      </c>
    </row>
    <row r="5" spans="1:11" x14ac:dyDescent="0.35">
      <c r="A5" s="2" t="s">
        <v>58</v>
      </c>
      <c r="B5" s="2" t="s">
        <v>59</v>
      </c>
      <c r="C5" s="2" t="s">
        <v>52</v>
      </c>
      <c r="D5" s="2">
        <v>52000</v>
      </c>
      <c r="E5" s="2" t="s">
        <v>60</v>
      </c>
    </row>
    <row r="6" spans="1:11" x14ac:dyDescent="0.35">
      <c r="A6" s="2" t="s">
        <v>61</v>
      </c>
      <c r="B6" s="2" t="s">
        <v>62</v>
      </c>
      <c r="C6" s="2" t="s">
        <v>63</v>
      </c>
      <c r="D6" s="2">
        <v>40000</v>
      </c>
      <c r="E6" s="2" t="s">
        <v>64</v>
      </c>
    </row>
    <row r="7" spans="1:11" x14ac:dyDescent="0.35">
      <c r="A7" s="2" t="s">
        <v>65</v>
      </c>
      <c r="B7" s="2" t="s">
        <v>66</v>
      </c>
      <c r="C7" s="2" t="s">
        <v>49</v>
      </c>
      <c r="D7" s="2">
        <v>36000</v>
      </c>
      <c r="E7" s="2" t="s">
        <v>50</v>
      </c>
    </row>
    <row r="8" spans="1:11" x14ac:dyDescent="0.35">
      <c r="A8" s="2" t="s">
        <v>67</v>
      </c>
      <c r="B8" s="2" t="s">
        <v>68</v>
      </c>
      <c r="C8" s="2" t="s">
        <v>56</v>
      </c>
      <c r="D8" s="2">
        <v>47000</v>
      </c>
      <c r="E8" s="2" t="s">
        <v>53</v>
      </c>
    </row>
    <row r="9" spans="1:11" x14ac:dyDescent="0.35">
      <c r="A9" s="2" t="s">
        <v>69</v>
      </c>
      <c r="B9" s="2" t="s">
        <v>70</v>
      </c>
      <c r="C9" s="2" t="s">
        <v>63</v>
      </c>
      <c r="D9" s="2">
        <v>42000</v>
      </c>
      <c r="E9" s="2" t="s">
        <v>71</v>
      </c>
    </row>
    <row r="11" spans="1:11" x14ac:dyDescent="0.35">
      <c r="A11" t="s">
        <v>14</v>
      </c>
      <c r="H11" s="4" t="s">
        <v>97</v>
      </c>
      <c r="I11" s="4"/>
      <c r="J11" s="4"/>
    </row>
    <row r="12" spans="1:11" x14ac:dyDescent="0.35">
      <c r="A12" t="s">
        <v>72</v>
      </c>
      <c r="H12" s="3" t="str">
        <f>VLOOKUP(A5,$A$2:$E$9,2,FALSE)</f>
        <v>Priya</v>
      </c>
      <c r="I12" s="3"/>
      <c r="J12" s="3"/>
    </row>
    <row r="13" spans="1:11" x14ac:dyDescent="0.35">
      <c r="A13" t="s">
        <v>73</v>
      </c>
      <c r="H13" s="3" t="str">
        <f>VLOOKUP(A4,$A$2:$E$9,3,FALSE)</f>
        <v>Finance</v>
      </c>
      <c r="I13" s="3"/>
      <c r="J13" s="3"/>
    </row>
    <row r="14" spans="1:11" x14ac:dyDescent="0.35">
      <c r="A14" t="s">
        <v>74</v>
      </c>
      <c r="H14" s="3">
        <f>VLOOKUP(A9,$A$2:$E$9,4,FALSE)</f>
        <v>42000</v>
      </c>
      <c r="I14" s="3"/>
      <c r="J14" s="3"/>
    </row>
    <row r="15" spans="1:11" x14ac:dyDescent="0.35">
      <c r="A15" t="s">
        <v>75</v>
      </c>
      <c r="H15" s="3" t="str">
        <f>VLOOKUP(A6,$A$2:$E$9,5,FALSE)</f>
        <v>Pune</v>
      </c>
      <c r="I15" s="3"/>
      <c r="J15" s="3"/>
    </row>
    <row r="16" spans="1:11" x14ac:dyDescent="0.35">
      <c r="A16" t="s">
        <v>76</v>
      </c>
      <c r="H16" s="3">
        <f>VLOOKUP(K16,$A$2:$E$9,4,FALSE)</f>
        <v>35000</v>
      </c>
      <c r="I16" s="3"/>
      <c r="J16" s="3"/>
      <c r="K16" t="s">
        <v>47</v>
      </c>
    </row>
    <row r="17" spans="1:11" x14ac:dyDescent="0.35">
      <c r="A17" t="s">
        <v>77</v>
      </c>
      <c r="H17" s="3" t="str">
        <f>VLOOKUP(K17,$A$2:$E$9,3,FALSE)</f>
        <v>IT</v>
      </c>
      <c r="I17" s="3"/>
      <c r="J17" s="3"/>
      <c r="K17" t="s">
        <v>51</v>
      </c>
    </row>
    <row r="19" spans="1:11" x14ac:dyDescent="0.35">
      <c r="A19" s="1" t="s">
        <v>78</v>
      </c>
      <c r="B19" s="1" t="s">
        <v>21</v>
      </c>
      <c r="C19" s="1" t="s">
        <v>79</v>
      </c>
      <c r="D19" s="1" t="s">
        <v>80</v>
      </c>
      <c r="E19" s="1" t="s">
        <v>81</v>
      </c>
    </row>
    <row r="20" spans="1:11" x14ac:dyDescent="0.35">
      <c r="A20" s="2" t="s">
        <v>82</v>
      </c>
      <c r="B20" s="2" t="s">
        <v>83</v>
      </c>
      <c r="C20" s="2">
        <v>78</v>
      </c>
      <c r="D20" s="2">
        <v>82</v>
      </c>
      <c r="E20" s="2">
        <v>74</v>
      </c>
    </row>
    <row r="21" spans="1:11" x14ac:dyDescent="0.35">
      <c r="A21" s="2" t="s">
        <v>84</v>
      </c>
      <c r="B21" s="2" t="s">
        <v>85</v>
      </c>
      <c r="C21" s="2">
        <v>65</v>
      </c>
      <c r="D21" s="2">
        <v>70</v>
      </c>
      <c r="E21" s="2">
        <v>68</v>
      </c>
    </row>
    <row r="22" spans="1:11" x14ac:dyDescent="0.35">
      <c r="A22" s="2" t="s">
        <v>86</v>
      </c>
      <c r="B22" s="2" t="s">
        <v>87</v>
      </c>
      <c r="C22" s="2">
        <v>88</v>
      </c>
      <c r="D22" s="2">
        <v>91</v>
      </c>
      <c r="E22" s="2">
        <v>85</v>
      </c>
    </row>
    <row r="23" spans="1:11" x14ac:dyDescent="0.35">
      <c r="A23" s="2" t="s">
        <v>88</v>
      </c>
      <c r="B23" s="2" t="s">
        <v>62</v>
      </c>
      <c r="C23" s="2">
        <v>72</v>
      </c>
      <c r="D23" s="2">
        <v>75</v>
      </c>
      <c r="E23" s="2">
        <v>70</v>
      </c>
    </row>
    <row r="24" spans="1:11" x14ac:dyDescent="0.35">
      <c r="A24" s="2" t="s">
        <v>89</v>
      </c>
      <c r="B24" s="2" t="s">
        <v>90</v>
      </c>
      <c r="C24" s="2">
        <v>90</v>
      </c>
      <c r="D24" s="2">
        <v>93</v>
      </c>
      <c r="E24" s="2">
        <v>89</v>
      </c>
    </row>
    <row r="26" spans="1:11" x14ac:dyDescent="0.35">
      <c r="A26" t="s">
        <v>14</v>
      </c>
      <c r="H26" s="4" t="s">
        <v>97</v>
      </c>
      <c r="I26" s="4"/>
      <c r="J26" s="4"/>
    </row>
    <row r="27" spans="1:11" x14ac:dyDescent="0.35">
      <c r="A27" t="s">
        <v>91</v>
      </c>
      <c r="H27" s="3">
        <f>VLOOKUP(A22,$A$20:$E$24,3,FALSE)</f>
        <v>88</v>
      </c>
      <c r="I27" s="3"/>
      <c r="J27" s="3"/>
    </row>
    <row r="28" spans="1:11" x14ac:dyDescent="0.35">
      <c r="A28" t="s">
        <v>92</v>
      </c>
      <c r="H28" s="3">
        <f>VLOOKUP(A21,$A$20:$E$24,4,FALSE)</f>
        <v>70</v>
      </c>
      <c r="I28" s="3"/>
      <c r="J28" s="3"/>
    </row>
    <row r="29" spans="1:11" x14ac:dyDescent="0.35">
      <c r="A29" t="s">
        <v>93</v>
      </c>
      <c r="H29" s="3">
        <f>VLOOKUP(A24,$A$20:$E$24,5,FALSE)</f>
        <v>89</v>
      </c>
      <c r="I29" s="3"/>
      <c r="J29" s="3"/>
    </row>
    <row r="30" spans="1:11" x14ac:dyDescent="0.35">
      <c r="A30" t="s">
        <v>94</v>
      </c>
      <c r="H30" s="3" t="str">
        <f>VLOOKUP(K30,$A$19:$E$24,2,FALSE)</f>
        <v>Asha</v>
      </c>
      <c r="I30" s="3"/>
      <c r="J30" s="3"/>
      <c r="K30" t="s">
        <v>82</v>
      </c>
    </row>
    <row r="31" spans="1:11" x14ac:dyDescent="0.35">
      <c r="A31" t="s">
        <v>95</v>
      </c>
      <c r="H31" s="3">
        <f>VLOOKUP(K31,$A$20:$E$24,4,FALSE)</f>
        <v>75</v>
      </c>
      <c r="I31" s="3"/>
      <c r="J31" s="3"/>
      <c r="K31" t="s">
        <v>88</v>
      </c>
    </row>
  </sheetData>
  <mergeCells count="13">
    <mergeCell ref="H31:J31"/>
    <mergeCell ref="H17:J17"/>
    <mergeCell ref="H26:J26"/>
    <mergeCell ref="H27:J27"/>
    <mergeCell ref="H28:J28"/>
    <mergeCell ref="H29:J29"/>
    <mergeCell ref="H30:J30"/>
    <mergeCell ref="H11:J11"/>
    <mergeCell ref="H12:J12"/>
    <mergeCell ref="H13:J13"/>
    <mergeCell ref="H14:J14"/>
    <mergeCell ref="H15:J15"/>
    <mergeCell ref="H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HLOOKUP_LAB</vt:lpstr>
      <vt:lpstr>VLOOKUP_LAB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2026-03-10T07:41:01Z</dcterms:created>
  <dcterms:modified xsi:type="dcterms:W3CDTF">2026-03-10T08:02:20Z</dcterms:modified>
</cp:coreProperties>
</file>