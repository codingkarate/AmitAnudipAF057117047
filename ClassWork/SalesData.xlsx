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1F157F79-D939-49A6-8A51-AB21C53C57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F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<sst xmlns="http://schemas.openxmlformats.org/spreadsheetml/2006/main" count="33" uniqueCount="31">
  <si>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</si>
  <si>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</si>
  <si>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</si>
  <si>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</si>
  <si>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</si>
  <si>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</si>
  <si>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</si>
  <si>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</si>
  <si>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</si>
  <si>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</si>
  <si>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</si>
  <si>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</si>
  <si>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</si>
  <si>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</si>
  <si>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</si>
  <si>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 target.</t>
  </si>
  <si>
    <t>2. Use the IF function to determine if a product is eligible for a regional bonus. 
Products in the "North" region with sales over 200 are eligible.</t>
  </si>
  <si>
    <t>3. Use nested IF functions to assign a commission rate based on sales. 
Sales &gt;= 200 get a 10% commission, sales &gt;= 150 get a 7% commission, and others get a 5% commission.</t>
  </si>
  <si>
    <t>4. Use the IF function to calculate a bonus amount. 
If sales met or exceeded the target, the bonus is 10% of the sales; otherwise, it's 5%.</t>
  </si>
  <si>
    <t>5. Use the IF function to categorize sales performance as 
"Excellent" (&gt;=200), "Good" (&gt;=150), or "Needs Improvement" (&lt;150).</t>
  </si>
  <si>
    <t>6. Use the IF function to assign a price tier based on the sales value. 
"High" for sales &gt; 200, "Medium" for sales between 100 and 200, and "Low" for sales &lt; 100.</t>
  </si>
  <si>
    <t>7. Use the IF function to calculate the year-end bonus. 
If sales &gt;= 150 and region is "North", the bonus is $500, otherwise, it's $300.</t>
  </si>
  <si>
    <t>8. Use the IF function to mark high performers. 
A product is a high performer if its sales are in the top 25% of all sales.</t>
  </si>
  <si>
    <t>Q1</t>
  </si>
  <si>
    <t>Q2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</si>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</sst>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Border="1"/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zoomScale="90" zoomScaleNormal="90" workbookViewId="0">
      <selection activeCell="J10" sqref="J10"/>
    </sheetView>
  </sheetViews>
  <sheetFormatPr defaultRowHeight="14.5" x14ac:dyDescent="0.35"/>
  <cols>
    <col min="1" max="1" width="10.36328125" customWidth="1"/>
    <col min="2" max="2" width="9.81640625" customWidth="1"/>
    <col min="3" max="3" width="10.453125" customWidth="1"/>
    <col min="4" max="4" width="10" customWidth="1"/>
    <col min="5" max="5" width="9.26953125" customWidth="1"/>
    <col min="7" max="7" width="10.6328125" customWidth="1"/>
    <col min="9" max="9" width="11.26953125" customWidth="1"/>
    <col min="10" max="10" width="18.1796875" customWidth="1"/>
    <col min="11" max="11" width="17.54296875" customWidth="1"/>
    <col min="13" max="13" width="13.453125" customWidth="1"/>
  </cols>
  <sheetData>
    <row r="1" spans="1:22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9" t="s">
        <v>30</v>
      </c>
      <c r="N1" s="16"/>
    </row>
    <row r="2" spans="1:22" x14ac:dyDescent="0.35">
      <c r="A2" s="2">
        <v>101</v>
      </c>
      <c r="B2" s="1" t="s">
        <v>5</v>
      </c>
      <c r="C2" s="1">
        <v>120</v>
      </c>
      <c r="D2" s="1">
        <v>150</v>
      </c>
      <c r="E2" s="1" t="s">
        <v>6</v>
      </c>
      <c r="F2" s="17" t="str">
        <f>IF(C2&gt;=D2,"YES","NO")</f>
        <v>NO</v>
      </c>
      <c r="G2" s="17" t="str">
        <f>IF(E2="North",IF(C2&gt;=200,"Eligible","Not Eligible"),"NA")</f>
        <v>Not Eligible</v>
      </c>
      <c r="H2" s="17" t="str">
        <f>IF(C2&gt;=200,"10%",IF(C2&gt;=150,"15%","5%"))</f>
        <v>5%</v>
      </c>
      <c r="I2" s="17" t="str">
        <f>IF(C2&gt;=D2,"10% Bonus","5% Bonus")</f>
        <v>5% Bonus</v>
      </c>
      <c r="J2" s="17" t="str">
        <f>IF(C2&gt;=200,"Excellent",IF(C2&gt;=150,"Good","Needs Improvement"))</f>
        <v>Needs Improvement</v>
      </c>
      <c r="K2" s="17" t="str">
        <f>IF(C2&gt;200,"High",IF(C2&gt;=100,"Medium","Low"))</f>
        <v>Medium</v>
      </c>
      <c r="L2" s="17" t="str">
        <f>IF(AND(C2&gt;=150,E2="North"),"$500","$300")</f>
        <v>$300</v>
      </c>
      <c r="M2" s="20" t="str">
        <f>IF(C2&gt;=PERCENTILE($C$2:$C$7,0.75),"High Performer","NA")</f>
        <v>NA</v>
      </c>
    </row>
    <row r="3" spans="1:22" x14ac:dyDescent="0.35">
      <c r="A3" s="2">
        <v>102</v>
      </c>
      <c r="B3" s="1" t="s">
        <v>7</v>
      </c>
      <c r="C3" s="1">
        <v>150</v>
      </c>
      <c r="D3" s="1">
        <v>140</v>
      </c>
      <c r="E3" s="1" t="s">
        <v>8</v>
      </c>
      <c r="F3" s="17" t="str">
        <f t="shared" ref="F3:F7" si="0">IF(C3&gt;=D3,"YES","NO")</f>
        <v>YES</v>
      </c>
      <c r="G3" s="17" t="str">
        <f t="shared" ref="G3:G7" si="1">IF(E3="North",IF(C3&gt;=200,"Eligible","Not Eligible"),"NA")</f>
        <v>NA</v>
      </c>
      <c r="H3" s="17" t="str">
        <f t="shared" ref="H3:H7" si="2">IF(C3&gt;=200,"10%",IF(C3&gt;=150,"15%","5%"))</f>
        <v>15%</v>
      </c>
      <c r="I3" s="17" t="str">
        <f t="shared" ref="I3:I7" si="3">IF(C3&gt;=D3,"10% Bonus","5% Bonus")</f>
        <v>10% Bonus</v>
      </c>
      <c r="J3" s="17" t="str">
        <f t="shared" ref="J3:J7" si="4">IF(C3&gt;=200,"Excellent",IF(C3&gt;=150,"Good","Needs Improvement"))</f>
        <v>Good</v>
      </c>
      <c r="K3" s="17" t="str">
        <f t="shared" ref="K3:K7" si="5">IF(C3&gt;200,"High",IF(C3&gt;=100,"Medium","Low"))</f>
        <v>Medium</v>
      </c>
      <c r="L3" s="17" t="str">
        <f t="shared" ref="L3:L7" si="6">IF(AND(C3&gt;=150,E3="North"),"$500","$300")</f>
        <v>$300</v>
      </c>
      <c r="M3" s="20" t="str">
        <f t="shared" ref="M3:M7" si="7">IF(C3&gt;=PERCENTILE($C$2:$C$7,0.75),"High Performer","NA")</f>
        <v>NA</v>
      </c>
    </row>
    <row r="4" spans="1:22" x14ac:dyDescent="0.35">
      <c r="A4" s="2">
        <v>103</v>
      </c>
      <c r="B4" s="1" t="s">
        <v>9</v>
      </c>
      <c r="C4" s="1">
        <v>200</v>
      </c>
      <c r="D4" s="1">
        <v>200</v>
      </c>
      <c r="E4" s="1" t="s">
        <v>10</v>
      </c>
      <c r="F4" s="17" t="str">
        <f t="shared" si="0"/>
        <v>YES</v>
      </c>
      <c r="G4" s="17" t="str">
        <f t="shared" si="1"/>
        <v>NA</v>
      </c>
      <c r="H4" s="17" t="str">
        <f t="shared" si="2"/>
        <v>10%</v>
      </c>
      <c r="I4" s="17" t="str">
        <f t="shared" si="3"/>
        <v>10% Bonus</v>
      </c>
      <c r="J4" s="17" t="str">
        <f t="shared" si="4"/>
        <v>Excellent</v>
      </c>
      <c r="K4" s="17" t="str">
        <f t="shared" si="5"/>
        <v>Medium</v>
      </c>
      <c r="L4" s="17" t="str">
        <f t="shared" si="6"/>
        <v>$300</v>
      </c>
      <c r="M4" s="20" t="str">
        <f t="shared" si="7"/>
        <v>High Performer</v>
      </c>
    </row>
    <row r="5" spans="1:22" x14ac:dyDescent="0.35">
      <c r="A5" s="2">
        <v>104</v>
      </c>
      <c r="B5" s="1" t="s">
        <v>11</v>
      </c>
      <c r="C5" s="1">
        <v>90</v>
      </c>
      <c r="D5" s="1">
        <v>100</v>
      </c>
      <c r="E5" s="1" t="s">
        <v>12</v>
      </c>
      <c r="F5" s="17" t="str">
        <f t="shared" si="0"/>
        <v>NO</v>
      </c>
      <c r="G5" s="17" t="str">
        <f t="shared" si="1"/>
        <v>NA</v>
      </c>
      <c r="H5" s="17" t="str">
        <f t="shared" si="2"/>
        <v>5%</v>
      </c>
      <c r="I5" s="17" t="str">
        <f t="shared" si="3"/>
        <v>5% Bonus</v>
      </c>
      <c r="J5" s="17" t="str">
        <f t="shared" si="4"/>
        <v>Needs Improvement</v>
      </c>
      <c r="K5" s="17" t="str">
        <f t="shared" si="5"/>
        <v>Low</v>
      </c>
      <c r="L5" s="17" t="str">
        <f t="shared" si="6"/>
        <v>$300</v>
      </c>
      <c r="M5" s="20" t="str">
        <f t="shared" si="7"/>
        <v>NA</v>
      </c>
    </row>
    <row r="6" spans="1:22" x14ac:dyDescent="0.35">
      <c r="A6" s="2">
        <v>105</v>
      </c>
      <c r="B6" s="1" t="s">
        <v>13</v>
      </c>
      <c r="C6" s="1">
        <v>220</v>
      </c>
      <c r="D6" s="1">
        <v>210</v>
      </c>
      <c r="E6" s="1" t="s">
        <v>6</v>
      </c>
      <c r="F6" s="17" t="str">
        <f t="shared" si="0"/>
        <v>YES</v>
      </c>
      <c r="G6" s="17" t="str">
        <f t="shared" si="1"/>
        <v>Eligible</v>
      </c>
      <c r="H6" s="17" t="str">
        <f t="shared" si="2"/>
        <v>10%</v>
      </c>
      <c r="I6" s="17" t="str">
        <f t="shared" si="3"/>
        <v>10% Bonus</v>
      </c>
      <c r="J6" s="17" t="str">
        <f t="shared" si="4"/>
        <v>Excellent</v>
      </c>
      <c r="K6" s="17" t="str">
        <f t="shared" si="5"/>
        <v>High</v>
      </c>
      <c r="L6" s="17" t="str">
        <f t="shared" si="6"/>
        <v>$500</v>
      </c>
      <c r="M6" s="20" t="str">
        <f t="shared" si="7"/>
        <v>High Performer</v>
      </c>
    </row>
    <row r="7" spans="1:22" ht="15" thickBot="1" x14ac:dyDescent="0.4">
      <c r="A7" s="3">
        <v>106</v>
      </c>
      <c r="B7" s="4" t="s">
        <v>14</v>
      </c>
      <c r="C7" s="4">
        <v>130</v>
      </c>
      <c r="D7" s="4">
        <v>160</v>
      </c>
      <c r="E7" s="4" t="s">
        <v>8</v>
      </c>
      <c r="F7" s="21" t="str">
        <f t="shared" si="0"/>
        <v>NO</v>
      </c>
      <c r="G7" s="21" t="str">
        <f t="shared" si="1"/>
        <v>NA</v>
      </c>
      <c r="H7" s="21" t="str">
        <f t="shared" si="2"/>
        <v>5%</v>
      </c>
      <c r="I7" s="21" t="str">
        <f t="shared" si="3"/>
        <v>5% Bonus</v>
      </c>
      <c r="J7" s="21" t="str">
        <f t="shared" si="4"/>
        <v>Needs Improvement</v>
      </c>
      <c r="K7" s="21" t="str">
        <f t="shared" si="5"/>
        <v>Medium</v>
      </c>
      <c r="L7" s="21" t="str">
        <f t="shared" si="6"/>
        <v>$300</v>
      </c>
      <c r="M7" s="22" t="str">
        <f t="shared" si="7"/>
        <v>NA</v>
      </c>
    </row>
    <row r="8" spans="1:22" x14ac:dyDescent="0.35">
      <c r="O8" s="8" t="s">
        <v>15</v>
      </c>
      <c r="P8" s="9"/>
      <c r="Q8" s="9"/>
      <c r="R8" s="9"/>
      <c r="S8" s="9"/>
      <c r="T8" s="9"/>
      <c r="U8" s="9"/>
      <c r="V8" s="10"/>
    </row>
    <row r="9" spans="1:22" ht="26.5" customHeight="1" x14ac:dyDescent="0.35">
      <c r="O9" s="11" t="s">
        <v>16</v>
      </c>
      <c r="P9" s="7"/>
      <c r="Q9" s="7"/>
      <c r="R9" s="7"/>
      <c r="S9" s="7"/>
      <c r="T9" s="7"/>
      <c r="U9" s="7"/>
      <c r="V9" s="12"/>
    </row>
    <row r="10" spans="1:22" ht="27.5" customHeight="1" x14ac:dyDescent="0.35">
      <c r="O10" s="11" t="s">
        <v>17</v>
      </c>
      <c r="P10" s="7"/>
      <c r="Q10" s="7"/>
      <c r="R10" s="7"/>
      <c r="S10" s="7"/>
      <c r="T10" s="7"/>
      <c r="U10" s="7"/>
      <c r="V10" s="12"/>
    </row>
    <row r="11" spans="1:22" ht="29" customHeight="1" x14ac:dyDescent="0.35">
      <c r="O11" s="11" t="s">
        <v>18</v>
      </c>
      <c r="P11" s="7"/>
      <c r="Q11" s="7"/>
      <c r="R11" s="7"/>
      <c r="S11" s="7"/>
      <c r="T11" s="7"/>
      <c r="U11" s="7"/>
      <c r="V11" s="12"/>
    </row>
    <row r="12" spans="1:22" ht="29.5" customHeight="1" x14ac:dyDescent="0.35">
      <c r="O12" s="11" t="s">
        <v>19</v>
      </c>
      <c r="P12" s="7"/>
      <c r="Q12" s="7"/>
      <c r="R12" s="7"/>
      <c r="S12" s="7"/>
      <c r="T12" s="7"/>
      <c r="U12" s="7"/>
      <c r="V12" s="12"/>
    </row>
    <row r="13" spans="1:22" ht="29.5" customHeight="1" x14ac:dyDescent="0.35">
      <c r="O13" s="11" t="s">
        <v>20</v>
      </c>
      <c r="P13" s="7"/>
      <c r="Q13" s="7"/>
      <c r="R13" s="7"/>
      <c r="S13" s="7"/>
      <c r="T13" s="7"/>
      <c r="U13" s="7"/>
      <c r="V13" s="12"/>
    </row>
    <row r="14" spans="1:22" ht="29.5" customHeight="1" x14ac:dyDescent="0.35">
      <c r="O14" s="11" t="s">
        <v>21</v>
      </c>
      <c r="P14" s="7"/>
      <c r="Q14" s="7"/>
      <c r="R14" s="7"/>
      <c r="S14" s="7"/>
      <c r="T14" s="7"/>
      <c r="U14" s="7"/>
      <c r="V14" s="12"/>
    </row>
    <row r="15" spans="1:22" ht="27.5" customHeight="1" thickBot="1" x14ac:dyDescent="0.4">
      <c r="O15" s="13" t="s">
        <v>22</v>
      </c>
      <c r="P15" s="14"/>
      <c r="Q15" s="14"/>
      <c r="R15" s="14"/>
      <c r="S15" s="14"/>
      <c r="T15" s="14"/>
      <c r="U15" s="14"/>
      <c r="V15" s="15"/>
    </row>
  </sheetData>
  <mergeCells count="8">
    <mergeCell ref="O14:V14"/>
    <mergeCell ref="O15:V15"/>
    <mergeCell ref="O8:V8"/>
    <mergeCell ref="O9:V9"/>
    <mergeCell ref="O10:V10"/>
    <mergeCell ref="O11:V11"/>
    <mergeCell ref="O12:V12"/>
    <mergeCell ref="O13:V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2026-02-26T12:03:43Z</dcterms:created>
  <dcterms:modified xsi:type="dcterms:W3CDTF">2026-02-26T12:26:53Z</dcterms:modified>
</cp:coreProperties>
</file>