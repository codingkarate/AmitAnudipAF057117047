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7A844F28-0B8F-4666-8356-CB54F49B6D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calcPr calcId="191029"/>
  <pivotCaches>
    <pivotCache cacheId="3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<sst xmlns="http://schemas.openxmlformats.org/spreadsheetml/2006/main" count="794" uniqueCount="160">
  <si>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</si>
  <si>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</si>
  <si>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</si>
  <si>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</si>
  <si>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</si>
  <si>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</si>
  <si>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</si>
  <si>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</si>
  <si>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</si>
  <si>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</si>
  <si>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</si>
  <si>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</si>
  <si>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</si>
  <si>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</si>
  <si>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</si>
  <si>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</si>
  <si>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</si>
  <si>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</si>
  <si>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</si>
  <si>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</si>
  <si>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</si>
  <si>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</si>
  <si>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</si>
  <si>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</si>
  <si>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</si>
  <si>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</si>
  <si>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</si>
  <si>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</si>
  <si>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</si>
  <si>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</si>
  <si>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</si>
  <si>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</si>
  <si>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</si>
  <si>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</si>
  <si>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</si>
  <si>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</si>
  <si>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</si>
  <si>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</si>
  <si>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</si>
  <si>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</si>
  <si>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</si>
  <si>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</si>
  <si>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</si>
  <si>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</si>
  <si>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</si>
  <si>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</si>
  <si>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</si>
  <si>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</si>
  <si>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</si>
  <si>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</si>
  <si>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</si>
  <si>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</si>
  <si>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</si>
  <si>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</si>
  <si>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</si>
  <si>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</si>
  <si>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</si>
  <si>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</si>
  <si>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</si>
  <si>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</si>
  <si>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</si>
  <si>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</si>
  <si>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</si>
  <si>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</si>
  <si>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</si>
  <si>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</si>
  <si>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</si>
  <si>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</si>
  <si>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</si>
  <si>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</si>
  <si>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</si>
  <si>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</si>
  <si>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</si>
  <si>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</si>
  <si>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</si>
  <si>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</si>
  <si>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</si>
  <si>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</si>
  <si>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</si>
  <si>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</si>
  <si>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</si>
  <si>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</si>
  <si>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</si>
  <si>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</si>
  <si>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</si>
  <si>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</si>
  <si>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</si>
  <si>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</si>
  <si>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</si>
  <si>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</si>
  <si>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</si>
  <si>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</si>
  <si>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</si>
  <si>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</si>
  <si>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</si>
  <si>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</si>
  <si>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</si>
  <si>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</si>
  <si>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</si>
  <si>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</si>
  <si>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</si>
  <si>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</si>
  <si>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</si>
  <si>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</si>
  <si>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</si>
  <si>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</si>
  <si>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</si>
  <si>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</si>
  <si>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</si>
  <si>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</si>
  <si>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</si>
  <si>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</si>
  <si>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</si>
  <si>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</si>
  <si>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</si>
  <si>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</si>
  <si>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</si>
  <si>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</si>
  <si>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</si>
  <si>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</si>
  <si>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</si>
  <si>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</si>
  <si>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</si>
  <si>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</si>
  <si>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</si>
  <si>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</si>
  <si>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</si>
  <si>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</si>
  <si>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</si>
  <si>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</si>
  <si>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</si>
  <si>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</si>
  <si>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</si>
  <si>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</si>
  <si>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</si>
  <si>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</si>
  <si>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</si>
  <si>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</si>
  <si>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</si>
  <si>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</si>
  <si>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</si>
  <si>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</si>
  <si>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Row Labels</t>
  </si>
  <si>
    <t>Grand Total</t>
  </si>
  <si>
    <t>Sum of Total Sales</t>
  </si>
  <si>
    <t>Count of Total Sales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</si>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</sst>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" refreshedDate="46097.548020601855" createdVersion="8" refreshedVersion="8" minRefreshableVersion="3" recordCount="100" xr:uid="{B8F89BB2-87F0-45C1-86FB-E941E992065A}">
  <cacheSource type="worksheet">
    <worksheetSource ref="A1:L101" sheet="Sheet1"/>
  </cacheSource>
  <cacheFields count="14">
    <cacheField name="Order ID" numFmtId="0">
      <sharedItems count="100">
        <s v="ORD-1000"/>
        <s v="ORD-1001"/>
        <s v="ORD-1002"/>
        <s v="ORD-1003"/>
        <s v="ORD-1004"/>
        <s v="ORD-1005"/>
        <s v="ORD-1006"/>
        <s v="ORD-1007"/>
        <s v="ORD-1008"/>
        <s v="ORD-1009"/>
        <s v="ORD-1010"/>
        <s v="ORD-1011"/>
        <s v="ORD-1012"/>
        <s v="ORD-1013"/>
        <s v="ORD-1014"/>
        <s v="ORD-1015"/>
        <s v="ORD-1016"/>
        <s v="ORD-1017"/>
        <s v="ORD-1018"/>
        <s v="ORD-1019"/>
        <s v="ORD-1020"/>
        <s v="ORD-1021"/>
        <s v="ORD-1022"/>
        <s v="ORD-1023"/>
        <s v="ORD-1024"/>
        <s v="ORD-1025"/>
        <s v="ORD-1026"/>
        <s v="ORD-1027"/>
        <s v="ORD-1028"/>
        <s v="ORD-1029"/>
        <s v="ORD-1030"/>
        <s v="ORD-1031"/>
        <s v="ORD-1032"/>
        <s v="ORD-1033"/>
        <s v="ORD-1034"/>
        <s v="ORD-1035"/>
        <s v="ORD-1036"/>
        <s v="ORD-1037"/>
        <s v="ORD-1038"/>
        <s v="ORD-1039"/>
        <s v="ORD-1040"/>
        <s v="ORD-1041"/>
        <s v="ORD-1042"/>
        <s v="ORD-1043"/>
        <s v="ORD-1044"/>
        <s v="ORD-1045"/>
        <s v="ORD-1046"/>
        <s v="ORD-1047"/>
        <s v="ORD-1048"/>
        <s v="ORD-1049"/>
        <s v="ORD-1050"/>
        <s v="ORD-1051"/>
        <s v="ORD-1052"/>
        <s v="ORD-1053"/>
        <s v="ORD-1054"/>
        <s v="ORD-1055"/>
        <s v="ORD-1056"/>
        <s v="ORD-1057"/>
        <s v="ORD-1058"/>
        <s v="ORD-1059"/>
        <s v="ORD-1060"/>
        <s v="ORD-1061"/>
        <s v="ORD-1062"/>
        <s v="ORD-1063"/>
        <s v="ORD-1064"/>
        <s v="ORD-1065"/>
        <s v="ORD-1066"/>
        <s v="ORD-1067"/>
        <s v="ORD-1068"/>
        <s v="ORD-1069"/>
        <s v="ORD-1070"/>
        <s v="ORD-1071"/>
        <s v="ORD-1072"/>
        <s v="ORD-1073"/>
        <s v="ORD-1074"/>
        <s v="ORD-1075"/>
        <s v="ORD-1076"/>
        <s v="ORD-1077"/>
        <s v="ORD-1078"/>
        <s v="ORD-1079"/>
        <s v="ORD-1080"/>
        <s v="ORD-1081"/>
        <s v="ORD-1082"/>
        <s v="ORD-1083"/>
        <s v="ORD-1084"/>
        <s v="ORD-1085"/>
        <s v="ORD-1086"/>
        <s v="ORD-1087"/>
        <s v="ORD-1088"/>
        <s v="ORD-1089"/>
        <s v="ORD-1090"/>
        <s v="ORD-1091"/>
        <s v="ORD-1092"/>
        <s v="ORD-1093"/>
        <s v="ORD-1094"/>
        <s v="ORD-1095"/>
        <s v="ORD-1096"/>
        <s v="ORD-1097"/>
        <s v="ORD-1098"/>
        <s v="ORD-1099"/>
      </sharedItems>
    </cacheField>
    <cacheField name="Order Date" numFmtId="14">
      <sharedItems containsSemiMixedTypes="0" containsNonDate="0" containsDate="1" containsString="0" minDate="2023-01-02T00:00:00" maxDate="2023-12-31T00:00:00" count="87">
        <d v="2023-04-13T00:00:00"/>
        <d v="2023-12-15T00:00:00"/>
        <d v="2023-09-28T00:00:00"/>
        <d v="2023-04-17T00:00:00"/>
        <d v="2023-03-13T00:00:00"/>
        <d v="2023-07-08T00:00:00"/>
        <d v="2023-01-21T00:00:00"/>
        <d v="2023-05-02T00:00:00"/>
        <d v="2023-08-03T00:00:00"/>
        <d v="2023-11-27T00:00:00"/>
        <d v="2023-03-29T00:00:00"/>
        <d v="2023-04-10T00:00:00"/>
        <d v="2023-12-26T00:00:00"/>
        <d v="2023-06-01T00:00:00"/>
        <d v="2023-05-11T00:00:00"/>
        <d v="2023-05-30T00:00:00"/>
        <d v="2023-11-05T00:00:00"/>
        <d v="2023-09-15T00:00:00"/>
        <d v="2023-12-10T00:00:00"/>
        <d v="2023-10-21T00:00:00"/>
        <d v="2023-07-11T00:00:00"/>
        <d v="2023-10-04T00:00:00"/>
        <d v="2023-06-10T00:00:00"/>
        <d v="2023-11-10T00:00:00"/>
        <d v="2023-01-22T00:00:00"/>
        <d v="2023-09-10T00:00:00"/>
        <d v="2023-08-24T00:00:00"/>
        <d v="2023-12-11T00:00:00"/>
        <d v="2023-02-18T00:00:00"/>
        <d v="2023-02-28T00:00:00"/>
        <d v="2023-06-19T00:00:00"/>
        <d v="2023-07-07T00:00:00"/>
        <d v="2023-07-09T00:00:00"/>
        <d v="2023-06-24T00:00:00"/>
        <d v="2023-02-20T00:00:00"/>
        <d v="2023-12-30T00:00:00"/>
        <d v="2023-02-24T00:00:00"/>
        <d v="2023-09-01T00:00:00"/>
        <d v="2023-11-16T00:00:00"/>
        <d v="2023-11-03T00:00:00"/>
        <d v="2023-05-15T00:00:00"/>
        <d v="2023-11-25T00:00:00"/>
        <d v="2023-06-16T00:00:00"/>
        <d v="2023-10-01T00:00:00"/>
        <d v="2023-03-30T00:00:00"/>
        <d v="2023-11-12T00:00:00"/>
        <d v="2023-01-14T00:00:00"/>
        <d v="2023-08-30T00:00:00"/>
        <d v="2023-09-22T00:00:00"/>
        <d v="2023-12-12T00:00:00"/>
        <d v="2023-02-22T00:00:00"/>
        <d v="2023-12-06T00:00:00"/>
        <d v="2023-04-02T00:00:00"/>
        <d v="2023-09-21T00:00:00"/>
        <d v="2023-02-04T00:00:00"/>
        <d v="2023-07-25T00:00:00"/>
        <d v="2023-03-22T00:00:00"/>
        <d v="2023-02-19T00:00:00"/>
        <d v="2023-01-02T00:00:00"/>
        <d v="2023-02-23T00:00:00"/>
        <d v="2023-04-16T00:00:00"/>
        <d v="2023-09-17T00:00:00"/>
        <d v="2023-11-06T00:00:00"/>
        <d v="2023-07-10T00:00:00"/>
        <d v="2023-08-06T00:00:00"/>
        <d v="2023-02-13T00:00:00"/>
        <d v="2023-06-11T00:00:00"/>
        <d v="2023-07-21T00:00:00"/>
        <d v="2023-09-27T00:00:00"/>
        <d v="2023-12-17T00:00:00"/>
        <d v="2023-10-31T00:00:00"/>
        <d v="2023-09-09T00:00:00"/>
        <d v="2023-10-23T00:00:00"/>
        <d v="2023-08-01T00:00:00"/>
        <d v="2023-07-27T00:00:00"/>
        <d v="2023-08-25T00:00:00"/>
        <d v="2023-12-04T00:00:00"/>
        <d v="2023-10-07T00:00:00"/>
        <d v="2023-08-05T00:00:00"/>
        <d v="2023-02-10T00:00:00"/>
        <d v="2023-06-06T00:00:00"/>
        <d v="2023-01-15T00:00:00"/>
        <d v="2023-10-28T00:00:00"/>
        <d v="2023-03-06T00:00:00"/>
        <d v="2023-11-23T00:00:00"/>
        <d v="2023-01-09T00:00:00"/>
        <d v="2023-05-09T00:00:00"/>
      </sharedItems>
      <fieldGroup par="12"/>
    </cacheField>
    <cacheField name="Customer Name" numFmtId="0">
      <sharedItems count="10">
        <s v="Karan"/>
        <s v="Vikram"/>
        <s v="Simran"/>
        <s v="Sneha"/>
        <s v="Priya"/>
        <s v="Raj"/>
        <s v="Amit"/>
        <s v="Pooja"/>
        <s v="Neha"/>
        <s v="Ravi"/>
      </sharedItems>
    </cacheField>
    <cacheField name="Region" numFmtId="0">
      <sharedItems count="4">
        <s v="South"/>
        <s v="East"/>
        <s v="West"/>
        <s v="North"/>
      </sharedItems>
    </cacheField>
    <cacheField name="Category" numFmtId="0">
      <sharedItems count="3">
        <s v="Office Supplies"/>
        <s v="Technology"/>
        <s v="Furniture"/>
      </sharedItems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minValue="105.15" maxValue="1975.82"/>
    </cacheField>
    <cacheField name="Discount" numFmtId="0">
      <sharedItems containsSemiMixedTypes="0" containsString="0" containsNumber="1" minValue="0" maxValue="0.2"/>
    </cacheField>
    <cacheField name="Total Sales" numFmtId="0">
      <sharedItems containsSemiMixedTypes="0" containsString="0" containsNumber="1" minValue="233.71" maxValue="13708.81"/>
    </cacheField>
    <cacheField name="Profit" numFmtId="0">
      <sharedItems containsSemiMixedTypes="0" containsString="0" containsNumber="1" minValue="24.69" maxValue="2889.4"/>
    </cacheField>
    <cacheField name="Payment Mode" numFmtId="0">
      <sharedItems/>
    </cacheField>
    <cacheField name="Months (Order Date)" numFmtId="0" databaseField="0">
      <fieldGroup base="1">
        <rangePr groupBy="months" startDate="2023-01-02T00:00:00" endDate="2023-12-3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3"/>
        </groupItems>
      </fieldGroup>
    </cacheField>
    <cacheField name="Field1" numFmtId="0" formula="'Total Sales' *10%" databaseField="0"/>
  </cacheFields>
  <extLst>
    <ext xmlns:x14="http://schemas.microsoft.com/office/spreadsheetml/2009/9/main" uri="{725AE2AE-9491-48be-B2B4-4EB974FC3084}">
      <x14:pivotCacheDefinition pivotCacheId="9444272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s v="Pens"/>
    <n v="3"/>
    <n v="1443.03"/>
    <n v="0.1"/>
    <n v="300.54000000000002"/>
    <n v="964.48"/>
    <s v="UPI"/>
  </r>
  <r>
    <x v="1"/>
    <x v="1"/>
    <x v="1"/>
    <x v="1"/>
    <x v="1"/>
    <s v="Laptops"/>
    <n v="7"/>
    <n v="1715.07"/>
    <n v="0.15"/>
    <n v="10204.69"/>
    <n v="1354.41"/>
    <s v="Cash"/>
  </r>
  <r>
    <x v="2"/>
    <x v="2"/>
    <x v="0"/>
    <x v="1"/>
    <x v="2"/>
    <s v="Bookcases"/>
    <n v="8"/>
    <n v="621.97"/>
    <n v="0.1"/>
    <n v="4478.1899999999996"/>
    <n v="752.58"/>
    <s v="Cash"/>
  </r>
  <r>
    <x v="3"/>
    <x v="3"/>
    <x v="2"/>
    <x v="0"/>
    <x v="0"/>
    <s v="Paper"/>
    <n v="5"/>
    <n v="1166.43"/>
    <n v="0.1"/>
    <n v="5248.92"/>
    <n v="948.39"/>
    <s v="Net Banking"/>
  </r>
  <r>
    <x v="4"/>
    <x v="4"/>
    <x v="0"/>
    <x v="1"/>
    <x v="2"/>
    <s v="Bookcases"/>
    <n v="7"/>
    <n v="1003.2"/>
    <n v="0.2"/>
    <n v="5617.94"/>
    <n v="995.18"/>
    <s v="UPI"/>
  </r>
  <r>
    <x v="5"/>
    <x v="5"/>
    <x v="3"/>
    <x v="0"/>
    <x v="2"/>
    <s v="Bookcases"/>
    <n v="4"/>
    <n v="1891.42"/>
    <n v="0.1"/>
    <n v="6809.12"/>
    <n v="1523.17"/>
    <s v="Credit Card"/>
  </r>
  <r>
    <x v="6"/>
    <x v="6"/>
    <x v="4"/>
    <x v="0"/>
    <x v="1"/>
    <s v="Laptops"/>
    <n v="5"/>
    <n v="1755.78"/>
    <n v="0.15"/>
    <n v="7462.04"/>
    <n v="780.61"/>
    <s v="Cash"/>
  </r>
  <r>
    <x v="7"/>
    <x v="0"/>
    <x v="5"/>
    <x v="2"/>
    <x v="0"/>
    <s v="Binders"/>
    <n v="7"/>
    <n v="1802.57"/>
    <n v="0"/>
    <n v="12618.01"/>
    <n v="1489.34"/>
    <s v="Credit Card"/>
  </r>
  <r>
    <x v="8"/>
    <x v="7"/>
    <x v="0"/>
    <x v="3"/>
    <x v="2"/>
    <s v="Bookcases"/>
    <n v="7"/>
    <n v="412.85"/>
    <n v="0.1"/>
    <n v="2600.9299999999998"/>
    <n v="401.46"/>
    <s v="UPI"/>
  </r>
  <r>
    <x v="9"/>
    <x v="8"/>
    <x v="6"/>
    <x v="0"/>
    <x v="1"/>
    <s v="Printers"/>
    <n v="6"/>
    <n v="515.65"/>
    <n v="0"/>
    <n v="3093.91"/>
    <n v="467.05"/>
    <s v="Net Banking"/>
  </r>
  <r>
    <x v="10"/>
    <x v="9"/>
    <x v="6"/>
    <x v="1"/>
    <x v="1"/>
    <s v="Printers"/>
    <n v="2"/>
    <n v="1453.31"/>
    <n v="0.2"/>
    <n v="2325.3000000000002"/>
    <n v="281.85000000000002"/>
    <s v="Credit Card"/>
  </r>
  <r>
    <x v="11"/>
    <x v="10"/>
    <x v="3"/>
    <x v="3"/>
    <x v="1"/>
    <s v="Mobiles"/>
    <n v="6"/>
    <n v="162.80000000000001"/>
    <n v="0"/>
    <n v="976.78"/>
    <n v="203.74"/>
    <s v="Net Banking"/>
  </r>
  <r>
    <x v="12"/>
    <x v="11"/>
    <x v="6"/>
    <x v="1"/>
    <x v="1"/>
    <s v="Mobiles"/>
    <n v="7"/>
    <n v="1377.06"/>
    <n v="0.1"/>
    <n v="8675.4599999999991"/>
    <n v="1235.5"/>
    <s v="Cash"/>
  </r>
  <r>
    <x v="13"/>
    <x v="12"/>
    <x v="7"/>
    <x v="2"/>
    <x v="2"/>
    <s v="Tables"/>
    <n v="6"/>
    <n v="857.77"/>
    <n v="0"/>
    <n v="5146.6000000000004"/>
    <n v="451.25"/>
    <s v="Credit Card"/>
  </r>
  <r>
    <x v="14"/>
    <x v="13"/>
    <x v="4"/>
    <x v="2"/>
    <x v="0"/>
    <s v="Pens"/>
    <n v="4"/>
    <n v="131.52000000000001"/>
    <n v="0.1"/>
    <n v="473.46"/>
    <n v="119.49"/>
    <s v="UPI"/>
  </r>
  <r>
    <x v="15"/>
    <x v="14"/>
    <x v="5"/>
    <x v="3"/>
    <x v="2"/>
    <s v="Chairs"/>
    <n v="8"/>
    <n v="834.8"/>
    <n v="0.05"/>
    <n v="6344.46"/>
    <n v="1645.93"/>
    <s v="Cash"/>
  </r>
  <r>
    <x v="16"/>
    <x v="15"/>
    <x v="4"/>
    <x v="2"/>
    <x v="0"/>
    <s v="Pens"/>
    <n v="3"/>
    <n v="534.25"/>
    <n v="0.05"/>
    <n v="1522.6"/>
    <n v="449.99"/>
    <s v="Credit Card"/>
  </r>
  <r>
    <x v="17"/>
    <x v="16"/>
    <x v="5"/>
    <x v="1"/>
    <x v="1"/>
    <s v="Laptops"/>
    <n v="5"/>
    <n v="1810.79"/>
    <n v="0.1"/>
    <n v="8148.57"/>
    <n v="791.85"/>
    <s v="UPI"/>
  </r>
  <r>
    <x v="18"/>
    <x v="17"/>
    <x v="8"/>
    <x v="2"/>
    <x v="0"/>
    <s v="Binders"/>
    <n v="8"/>
    <n v="1786.76"/>
    <n v="0.15"/>
    <n v="12149.99"/>
    <n v="863.07"/>
    <s v="Cash"/>
  </r>
  <r>
    <x v="19"/>
    <x v="18"/>
    <x v="3"/>
    <x v="0"/>
    <x v="1"/>
    <s v="Printers"/>
    <n v="9"/>
    <n v="1360.65"/>
    <n v="0.2"/>
    <n v="9796.7000000000007"/>
    <n v="1185.21"/>
    <s v="Cash"/>
  </r>
  <r>
    <x v="20"/>
    <x v="19"/>
    <x v="0"/>
    <x v="2"/>
    <x v="0"/>
    <s v="Paper"/>
    <n v="9"/>
    <n v="434.26"/>
    <n v="0.15"/>
    <n v="3322.07"/>
    <n v="363.14"/>
    <s v="Net Banking"/>
  </r>
  <r>
    <x v="21"/>
    <x v="20"/>
    <x v="7"/>
    <x v="1"/>
    <x v="0"/>
    <s v="Pens"/>
    <n v="1"/>
    <n v="685.32"/>
    <n v="0.15"/>
    <n v="582.52"/>
    <n v="103.22"/>
    <s v="Cash"/>
  </r>
  <r>
    <x v="22"/>
    <x v="21"/>
    <x v="3"/>
    <x v="3"/>
    <x v="1"/>
    <s v="Mobiles"/>
    <n v="6"/>
    <n v="1959.9"/>
    <n v="0.1"/>
    <n v="10583.44"/>
    <n v="2889.4"/>
    <s v="Cash"/>
  </r>
  <r>
    <x v="23"/>
    <x v="22"/>
    <x v="4"/>
    <x v="1"/>
    <x v="2"/>
    <s v="Bookcases"/>
    <n v="1"/>
    <n v="470.96"/>
    <n v="0.2"/>
    <n v="376.77"/>
    <n v="65.86"/>
    <s v="Net Banking"/>
  </r>
  <r>
    <x v="24"/>
    <x v="23"/>
    <x v="8"/>
    <x v="3"/>
    <x v="2"/>
    <s v="Chairs"/>
    <n v="5"/>
    <n v="1778.64"/>
    <n v="0.15"/>
    <n v="7559.21"/>
    <n v="407.17"/>
    <s v="Credit Card"/>
  </r>
  <r>
    <x v="25"/>
    <x v="24"/>
    <x v="0"/>
    <x v="2"/>
    <x v="1"/>
    <s v="Laptops"/>
    <n v="3"/>
    <n v="1962.63"/>
    <n v="0.15"/>
    <n v="5004.71"/>
    <n v="618.64"/>
    <s v="UPI"/>
  </r>
  <r>
    <x v="26"/>
    <x v="25"/>
    <x v="8"/>
    <x v="0"/>
    <x v="2"/>
    <s v="Bookcases"/>
    <n v="2"/>
    <n v="1157.92"/>
    <n v="0.05"/>
    <n v="2200.0500000000002"/>
    <n v="621.52"/>
    <s v="Net Banking"/>
  </r>
  <r>
    <x v="27"/>
    <x v="26"/>
    <x v="2"/>
    <x v="3"/>
    <x v="0"/>
    <s v="Binders"/>
    <n v="7"/>
    <n v="366.16"/>
    <n v="0.1"/>
    <n v="2306.81"/>
    <n v="285.63"/>
    <s v="Net Banking"/>
  </r>
  <r>
    <x v="28"/>
    <x v="27"/>
    <x v="2"/>
    <x v="1"/>
    <x v="2"/>
    <s v="Chairs"/>
    <n v="6"/>
    <n v="783.03"/>
    <n v="0.2"/>
    <n v="3758.56"/>
    <n v="466.54"/>
    <s v="Cash"/>
  </r>
  <r>
    <x v="29"/>
    <x v="28"/>
    <x v="8"/>
    <x v="2"/>
    <x v="2"/>
    <s v="Chairs"/>
    <n v="7"/>
    <n v="1052.8800000000001"/>
    <n v="0.2"/>
    <n v="5896.13"/>
    <n v="581.16999999999996"/>
    <s v="Cash"/>
  </r>
  <r>
    <x v="30"/>
    <x v="29"/>
    <x v="1"/>
    <x v="1"/>
    <x v="1"/>
    <s v="Printers"/>
    <n v="7"/>
    <n v="152.47"/>
    <n v="0.05"/>
    <n v="1013.94"/>
    <n v="74.52"/>
    <s v="Cash"/>
  </r>
  <r>
    <x v="31"/>
    <x v="30"/>
    <x v="7"/>
    <x v="1"/>
    <x v="0"/>
    <s v="Paper"/>
    <n v="6"/>
    <n v="1222.58"/>
    <n v="0"/>
    <n v="7335.5"/>
    <n v="435.27"/>
    <s v="Cash"/>
  </r>
  <r>
    <x v="32"/>
    <x v="31"/>
    <x v="0"/>
    <x v="1"/>
    <x v="0"/>
    <s v="Paper"/>
    <n v="1"/>
    <n v="1672.95"/>
    <n v="0.15"/>
    <n v="1422.01"/>
    <n v="147.83000000000001"/>
    <s v="Net Banking"/>
  </r>
  <r>
    <x v="33"/>
    <x v="2"/>
    <x v="4"/>
    <x v="2"/>
    <x v="1"/>
    <s v="Laptops"/>
    <n v="4"/>
    <n v="881.57"/>
    <n v="0.1"/>
    <n v="3173.66"/>
    <n v="664.43"/>
    <s v="Credit Card"/>
  </r>
  <r>
    <x v="34"/>
    <x v="32"/>
    <x v="1"/>
    <x v="0"/>
    <x v="1"/>
    <s v="Mobiles"/>
    <n v="3"/>
    <n v="1610.85"/>
    <n v="0.1"/>
    <n v="4349.3100000000004"/>
    <n v="694.77"/>
    <s v="Credit Card"/>
  </r>
  <r>
    <x v="35"/>
    <x v="33"/>
    <x v="2"/>
    <x v="0"/>
    <x v="1"/>
    <s v="Laptops"/>
    <n v="7"/>
    <n v="913.8"/>
    <n v="0.15"/>
    <n v="5437.1"/>
    <n v="827.73"/>
    <s v="Credit Card"/>
  </r>
  <r>
    <x v="36"/>
    <x v="34"/>
    <x v="1"/>
    <x v="2"/>
    <x v="0"/>
    <s v="Binders"/>
    <n v="6"/>
    <n v="1457.73"/>
    <n v="0.2"/>
    <n v="6997.11"/>
    <n v="839.54"/>
    <s v="UPI"/>
  </r>
  <r>
    <x v="37"/>
    <x v="35"/>
    <x v="0"/>
    <x v="0"/>
    <x v="2"/>
    <s v="Tables"/>
    <n v="7"/>
    <n v="190.66"/>
    <n v="0.05"/>
    <n v="1267.8900000000001"/>
    <n v="176.23"/>
    <s v="Credit Card"/>
  </r>
  <r>
    <x v="38"/>
    <x v="36"/>
    <x v="2"/>
    <x v="0"/>
    <x v="2"/>
    <s v="Tables"/>
    <n v="5"/>
    <n v="278.89999999999998"/>
    <n v="0.15"/>
    <n v="1185.32"/>
    <n v="111.22"/>
    <s v="Net Banking"/>
  </r>
  <r>
    <x v="39"/>
    <x v="37"/>
    <x v="2"/>
    <x v="0"/>
    <x v="2"/>
    <s v="Bookcases"/>
    <n v="4"/>
    <n v="429.08"/>
    <n v="0.2"/>
    <n v="1373.07"/>
    <n v="205.45"/>
    <s v="Credit Card"/>
  </r>
  <r>
    <x v="40"/>
    <x v="38"/>
    <x v="4"/>
    <x v="2"/>
    <x v="1"/>
    <s v="Printers"/>
    <n v="3"/>
    <n v="1055.96"/>
    <n v="0"/>
    <n v="3167.88"/>
    <n v="585.55999999999995"/>
    <s v="Net Banking"/>
  </r>
  <r>
    <x v="41"/>
    <x v="14"/>
    <x v="3"/>
    <x v="1"/>
    <x v="0"/>
    <s v="Binders"/>
    <n v="1"/>
    <n v="1747.68"/>
    <n v="0.1"/>
    <n v="1572.91"/>
    <n v="393.6"/>
    <s v="Net Banking"/>
  </r>
  <r>
    <x v="42"/>
    <x v="39"/>
    <x v="6"/>
    <x v="2"/>
    <x v="2"/>
    <s v="Chairs"/>
    <n v="3"/>
    <n v="1659.22"/>
    <n v="0.15"/>
    <n v="4231"/>
    <n v="619.95000000000005"/>
    <s v="Cash"/>
  </r>
  <r>
    <x v="43"/>
    <x v="40"/>
    <x v="6"/>
    <x v="0"/>
    <x v="0"/>
    <s v="Paper"/>
    <n v="2"/>
    <n v="174.03"/>
    <n v="0.05"/>
    <n v="330.66"/>
    <n v="72.989999999999995"/>
    <s v="Net Banking"/>
  </r>
  <r>
    <x v="44"/>
    <x v="6"/>
    <x v="3"/>
    <x v="3"/>
    <x v="2"/>
    <s v="Tables"/>
    <n v="2"/>
    <n v="595.32000000000005"/>
    <n v="0.15"/>
    <n v="1012.04"/>
    <n v="225.91"/>
    <s v="UPI"/>
  </r>
  <r>
    <x v="45"/>
    <x v="41"/>
    <x v="5"/>
    <x v="2"/>
    <x v="2"/>
    <s v="Chairs"/>
    <n v="5"/>
    <n v="1938.4"/>
    <n v="0.15"/>
    <n v="8238.2099999999991"/>
    <n v="777.36"/>
    <s v="Net Banking"/>
  </r>
  <r>
    <x v="46"/>
    <x v="42"/>
    <x v="8"/>
    <x v="1"/>
    <x v="0"/>
    <s v="Paper"/>
    <n v="3"/>
    <n v="883.97"/>
    <n v="0.05"/>
    <n v="2519.3200000000002"/>
    <n v="283.43"/>
    <s v="Cash"/>
  </r>
  <r>
    <x v="47"/>
    <x v="43"/>
    <x v="6"/>
    <x v="3"/>
    <x v="2"/>
    <s v="Chairs"/>
    <n v="7"/>
    <n v="1526.66"/>
    <n v="0"/>
    <n v="10686.59"/>
    <n v="1170.81"/>
    <s v="Cash"/>
  </r>
  <r>
    <x v="48"/>
    <x v="44"/>
    <x v="9"/>
    <x v="2"/>
    <x v="2"/>
    <s v="Tables"/>
    <n v="3"/>
    <n v="839.48"/>
    <n v="0.15"/>
    <n v="2140.6799999999998"/>
    <n v="620.02"/>
    <s v="Credit Card"/>
  </r>
  <r>
    <x v="49"/>
    <x v="45"/>
    <x v="5"/>
    <x v="2"/>
    <x v="0"/>
    <s v="Binders"/>
    <n v="4"/>
    <n v="1189.53"/>
    <n v="0.2"/>
    <n v="3806.5"/>
    <n v="277.58999999999997"/>
    <s v="UPI"/>
  </r>
  <r>
    <x v="50"/>
    <x v="46"/>
    <x v="2"/>
    <x v="1"/>
    <x v="2"/>
    <s v="Chairs"/>
    <n v="7"/>
    <n v="1584.46"/>
    <n v="0.2"/>
    <n v="8872.99"/>
    <n v="2508.6799999999998"/>
    <s v="Cash"/>
  </r>
  <r>
    <x v="51"/>
    <x v="47"/>
    <x v="3"/>
    <x v="1"/>
    <x v="0"/>
    <s v="Binders"/>
    <n v="5"/>
    <n v="1500.37"/>
    <n v="0.2"/>
    <n v="6001.47"/>
    <n v="826.58"/>
    <s v="Net Banking"/>
  </r>
  <r>
    <x v="52"/>
    <x v="48"/>
    <x v="5"/>
    <x v="0"/>
    <x v="2"/>
    <s v="Tables"/>
    <n v="1"/>
    <n v="292.13"/>
    <n v="0.2"/>
    <n v="233.71"/>
    <n v="24.69"/>
    <s v="UPI"/>
  </r>
  <r>
    <x v="53"/>
    <x v="49"/>
    <x v="6"/>
    <x v="0"/>
    <x v="1"/>
    <s v="Mobiles"/>
    <n v="5"/>
    <n v="1075.32"/>
    <n v="0.1"/>
    <n v="4838.9399999999996"/>
    <n v="945.17"/>
    <s v="Net Banking"/>
  </r>
  <r>
    <x v="54"/>
    <x v="50"/>
    <x v="9"/>
    <x v="3"/>
    <x v="2"/>
    <s v="Bookcases"/>
    <n v="7"/>
    <n v="1973.4"/>
    <n v="0.15"/>
    <n v="11741.74"/>
    <n v="1615.13"/>
    <s v="Net Banking"/>
  </r>
  <r>
    <x v="55"/>
    <x v="51"/>
    <x v="3"/>
    <x v="2"/>
    <x v="1"/>
    <s v="Printers"/>
    <n v="3"/>
    <n v="311.27999999999997"/>
    <n v="0.1"/>
    <n v="840.44"/>
    <n v="95.32"/>
    <s v="Cash"/>
  </r>
  <r>
    <x v="56"/>
    <x v="52"/>
    <x v="5"/>
    <x v="1"/>
    <x v="1"/>
    <s v="Laptops"/>
    <n v="9"/>
    <n v="1514"/>
    <n v="0.1"/>
    <n v="12263.42"/>
    <n v="2401.69"/>
    <s v="Net Banking"/>
  </r>
  <r>
    <x v="57"/>
    <x v="53"/>
    <x v="0"/>
    <x v="2"/>
    <x v="2"/>
    <s v="Chairs"/>
    <n v="8"/>
    <n v="1103.9000000000001"/>
    <n v="0.2"/>
    <n v="7064.98"/>
    <n v="2054.54"/>
    <s v="Cash"/>
  </r>
  <r>
    <x v="58"/>
    <x v="54"/>
    <x v="3"/>
    <x v="1"/>
    <x v="2"/>
    <s v="Bookcases"/>
    <n v="5"/>
    <n v="580.67999999999995"/>
    <n v="0.1"/>
    <n v="2613.0700000000002"/>
    <n v="763.87"/>
    <s v="Credit Card"/>
  </r>
  <r>
    <x v="59"/>
    <x v="55"/>
    <x v="5"/>
    <x v="1"/>
    <x v="2"/>
    <s v="Tables"/>
    <n v="1"/>
    <n v="1292.3599999999999"/>
    <n v="0.1"/>
    <n v="1163.1199999999999"/>
    <n v="320.2"/>
    <s v="Net Banking"/>
  </r>
  <r>
    <x v="60"/>
    <x v="56"/>
    <x v="2"/>
    <x v="2"/>
    <x v="1"/>
    <s v="Mobiles"/>
    <n v="8"/>
    <n v="1278.25"/>
    <n v="0.05"/>
    <n v="9714.7099999999991"/>
    <n v="942.62"/>
    <s v="Cash"/>
  </r>
  <r>
    <x v="61"/>
    <x v="57"/>
    <x v="6"/>
    <x v="3"/>
    <x v="1"/>
    <s v="Laptops"/>
    <n v="9"/>
    <n v="593.9"/>
    <n v="0.1"/>
    <n v="4810.63"/>
    <n v="1080.18"/>
    <s v="Credit Card"/>
  </r>
  <r>
    <x v="62"/>
    <x v="12"/>
    <x v="0"/>
    <x v="1"/>
    <x v="2"/>
    <s v="Chairs"/>
    <n v="3"/>
    <n v="1662.82"/>
    <n v="0.05"/>
    <n v="4739.04"/>
    <n v="730.57"/>
    <s v="Credit Card"/>
  </r>
  <r>
    <x v="63"/>
    <x v="58"/>
    <x v="1"/>
    <x v="2"/>
    <x v="1"/>
    <s v="Mobiles"/>
    <n v="8"/>
    <n v="1765.66"/>
    <n v="0.1"/>
    <n v="12712.73"/>
    <n v="779.35"/>
    <s v="Credit Card"/>
  </r>
  <r>
    <x v="64"/>
    <x v="59"/>
    <x v="2"/>
    <x v="1"/>
    <x v="1"/>
    <s v="Laptops"/>
    <n v="2"/>
    <n v="1975.82"/>
    <n v="0"/>
    <n v="3951.65"/>
    <n v="569.77"/>
    <s v="Credit Card"/>
  </r>
  <r>
    <x v="65"/>
    <x v="60"/>
    <x v="6"/>
    <x v="3"/>
    <x v="1"/>
    <s v="Printers"/>
    <n v="1"/>
    <n v="1692.82"/>
    <n v="0.05"/>
    <n v="1608.18"/>
    <n v="95.21"/>
    <s v="Net Banking"/>
  </r>
  <r>
    <x v="66"/>
    <x v="61"/>
    <x v="0"/>
    <x v="1"/>
    <x v="0"/>
    <s v="Binders"/>
    <n v="1"/>
    <n v="1115.26"/>
    <n v="0.2"/>
    <n v="892.21"/>
    <n v="266.91000000000003"/>
    <s v="Credit Card"/>
  </r>
  <r>
    <x v="67"/>
    <x v="62"/>
    <x v="9"/>
    <x v="3"/>
    <x v="2"/>
    <s v="Chairs"/>
    <n v="3"/>
    <n v="569.96"/>
    <n v="0"/>
    <n v="1709.88"/>
    <n v="140.71"/>
    <s v="Credit Card"/>
  </r>
  <r>
    <x v="68"/>
    <x v="63"/>
    <x v="8"/>
    <x v="1"/>
    <x v="1"/>
    <s v="Laptops"/>
    <n v="1"/>
    <n v="1538.3"/>
    <n v="0.05"/>
    <n v="1461.38"/>
    <n v="203.92"/>
    <s v="Cash"/>
  </r>
  <r>
    <x v="69"/>
    <x v="64"/>
    <x v="6"/>
    <x v="0"/>
    <x v="1"/>
    <s v="Mobiles"/>
    <n v="6"/>
    <n v="1567.4"/>
    <n v="0.1"/>
    <n v="8463.99"/>
    <n v="1074.45"/>
    <s v="Net Banking"/>
  </r>
  <r>
    <x v="70"/>
    <x v="65"/>
    <x v="3"/>
    <x v="1"/>
    <x v="2"/>
    <s v="Tables"/>
    <n v="9"/>
    <n v="1220.92"/>
    <n v="0.2"/>
    <n v="8790.6"/>
    <n v="1802.75"/>
    <s v="UPI"/>
  </r>
  <r>
    <x v="71"/>
    <x v="66"/>
    <x v="9"/>
    <x v="1"/>
    <x v="0"/>
    <s v="Binders"/>
    <n v="2"/>
    <n v="766.12"/>
    <n v="0.05"/>
    <n v="1455.62"/>
    <n v="304.45999999999998"/>
    <s v="Cash"/>
  </r>
  <r>
    <x v="72"/>
    <x v="67"/>
    <x v="2"/>
    <x v="1"/>
    <x v="2"/>
    <s v="Tables"/>
    <n v="1"/>
    <n v="1588.94"/>
    <n v="0.15"/>
    <n v="1350.6"/>
    <n v="168.14"/>
    <s v="Credit Card"/>
  </r>
  <r>
    <x v="73"/>
    <x v="68"/>
    <x v="4"/>
    <x v="2"/>
    <x v="2"/>
    <s v="Chairs"/>
    <n v="4"/>
    <n v="972.76"/>
    <n v="0"/>
    <n v="3891.04"/>
    <n v="673.26"/>
    <s v="Credit Card"/>
  </r>
  <r>
    <x v="74"/>
    <x v="69"/>
    <x v="9"/>
    <x v="1"/>
    <x v="1"/>
    <s v="Mobiles"/>
    <n v="5"/>
    <n v="760.09"/>
    <n v="0.1"/>
    <n v="3420.38"/>
    <n v="666.68"/>
    <s v="Credit Card"/>
  </r>
  <r>
    <x v="75"/>
    <x v="70"/>
    <x v="8"/>
    <x v="3"/>
    <x v="0"/>
    <s v="Pens"/>
    <n v="6"/>
    <n v="1425.57"/>
    <n v="0.15"/>
    <n v="7270.4"/>
    <n v="694.11"/>
    <s v="UPI"/>
  </r>
  <r>
    <x v="76"/>
    <x v="2"/>
    <x v="0"/>
    <x v="0"/>
    <x v="0"/>
    <s v="Pens"/>
    <n v="2"/>
    <n v="1243.68"/>
    <n v="0.1"/>
    <n v="2238.62"/>
    <n v="134.80000000000001"/>
    <s v="Net Banking"/>
  </r>
  <r>
    <x v="77"/>
    <x v="8"/>
    <x v="2"/>
    <x v="0"/>
    <x v="1"/>
    <s v="Laptops"/>
    <n v="6"/>
    <n v="268.52999999999997"/>
    <n v="0"/>
    <n v="1611.21"/>
    <n v="295.83"/>
    <s v="Cash"/>
  </r>
  <r>
    <x v="78"/>
    <x v="71"/>
    <x v="8"/>
    <x v="0"/>
    <x v="2"/>
    <s v="Tables"/>
    <n v="9"/>
    <n v="275.35000000000002"/>
    <n v="0"/>
    <n v="2478.17"/>
    <n v="550.02"/>
    <s v="UPI"/>
  </r>
  <r>
    <x v="79"/>
    <x v="32"/>
    <x v="9"/>
    <x v="3"/>
    <x v="0"/>
    <s v="Paper"/>
    <n v="1"/>
    <n v="626.07000000000005"/>
    <n v="0"/>
    <n v="626.07000000000005"/>
    <n v="44.53"/>
    <s v="Net Banking"/>
  </r>
  <r>
    <x v="80"/>
    <x v="72"/>
    <x v="8"/>
    <x v="0"/>
    <x v="0"/>
    <s v="Pens"/>
    <n v="8"/>
    <n v="1020.59"/>
    <n v="0.05"/>
    <n v="7756.51"/>
    <n v="1861.48"/>
    <s v="Credit Card"/>
  </r>
  <r>
    <x v="81"/>
    <x v="73"/>
    <x v="3"/>
    <x v="0"/>
    <x v="1"/>
    <s v="Mobiles"/>
    <n v="8"/>
    <n v="352.92"/>
    <n v="0.1"/>
    <n v="2541.04"/>
    <n v="695.74"/>
    <s v="Cash"/>
  </r>
  <r>
    <x v="82"/>
    <x v="74"/>
    <x v="5"/>
    <x v="3"/>
    <x v="0"/>
    <s v="Pens"/>
    <n v="9"/>
    <n v="1501.07"/>
    <n v="0.15"/>
    <n v="11483.18"/>
    <n v="631.78"/>
    <s v="UPI"/>
  </r>
  <r>
    <x v="83"/>
    <x v="75"/>
    <x v="2"/>
    <x v="1"/>
    <x v="1"/>
    <s v="Mobiles"/>
    <n v="9"/>
    <n v="1792"/>
    <n v="0.15"/>
    <n v="13708.81"/>
    <n v="2309.83"/>
    <s v="Credit Card"/>
  </r>
  <r>
    <x v="84"/>
    <x v="76"/>
    <x v="8"/>
    <x v="3"/>
    <x v="2"/>
    <s v="Tables"/>
    <n v="4"/>
    <n v="1120.5"/>
    <n v="0.05"/>
    <n v="4257.91"/>
    <n v="806.6"/>
    <s v="Net Banking"/>
  </r>
  <r>
    <x v="85"/>
    <x v="50"/>
    <x v="3"/>
    <x v="1"/>
    <x v="0"/>
    <s v="Binders"/>
    <n v="9"/>
    <n v="741.15"/>
    <n v="0.15"/>
    <n v="5669.79"/>
    <n v="1199.04"/>
    <s v="Net Banking"/>
  </r>
  <r>
    <x v="86"/>
    <x v="77"/>
    <x v="0"/>
    <x v="0"/>
    <x v="0"/>
    <s v="Paper"/>
    <n v="6"/>
    <n v="1250.97"/>
    <n v="0"/>
    <n v="7505.83"/>
    <n v="389.43"/>
    <s v="Cash"/>
  </r>
  <r>
    <x v="87"/>
    <x v="78"/>
    <x v="8"/>
    <x v="3"/>
    <x v="0"/>
    <s v="Binders"/>
    <n v="8"/>
    <n v="1803.85"/>
    <n v="0.1"/>
    <n v="12987.75"/>
    <n v="2352.44"/>
    <s v="Net Banking"/>
  </r>
  <r>
    <x v="88"/>
    <x v="71"/>
    <x v="7"/>
    <x v="0"/>
    <x v="0"/>
    <s v="Binders"/>
    <n v="2"/>
    <n v="1194.4000000000001"/>
    <n v="0.1"/>
    <n v="2149.91"/>
    <n v="572.69000000000005"/>
    <s v="Credit Card"/>
  </r>
  <r>
    <x v="89"/>
    <x v="31"/>
    <x v="8"/>
    <x v="0"/>
    <x v="1"/>
    <s v="Mobiles"/>
    <n v="3"/>
    <n v="1659.64"/>
    <n v="0.05"/>
    <n v="4729.96"/>
    <n v="894.87"/>
    <s v="UPI"/>
  </r>
  <r>
    <x v="90"/>
    <x v="79"/>
    <x v="6"/>
    <x v="2"/>
    <x v="2"/>
    <s v="Chairs"/>
    <n v="6"/>
    <n v="1939.19"/>
    <n v="0.15"/>
    <n v="9889.86"/>
    <n v="1546.37"/>
    <s v="Credit Card"/>
  </r>
  <r>
    <x v="91"/>
    <x v="80"/>
    <x v="9"/>
    <x v="3"/>
    <x v="0"/>
    <s v="Paper"/>
    <n v="6"/>
    <n v="1204.3499999999999"/>
    <n v="0.1"/>
    <n v="6503.5"/>
    <n v="1840.51"/>
    <s v="Cash"/>
  </r>
  <r>
    <x v="92"/>
    <x v="81"/>
    <x v="8"/>
    <x v="0"/>
    <x v="1"/>
    <s v="Mobiles"/>
    <n v="5"/>
    <n v="220.41"/>
    <n v="0.15"/>
    <n v="936.75"/>
    <n v="94.08"/>
    <s v="Net Banking"/>
  </r>
  <r>
    <x v="93"/>
    <x v="82"/>
    <x v="8"/>
    <x v="0"/>
    <x v="2"/>
    <s v="Bookcases"/>
    <n v="5"/>
    <n v="105.15"/>
    <n v="0"/>
    <n v="525.75"/>
    <n v="104.58"/>
    <s v="UPI"/>
  </r>
  <r>
    <x v="94"/>
    <x v="83"/>
    <x v="0"/>
    <x v="2"/>
    <x v="0"/>
    <s v="Binders"/>
    <n v="1"/>
    <n v="1716.38"/>
    <n v="0.15"/>
    <n v="1458.92"/>
    <n v="424.92"/>
    <s v="UPI"/>
  </r>
  <r>
    <x v="95"/>
    <x v="27"/>
    <x v="8"/>
    <x v="1"/>
    <x v="2"/>
    <s v="Tables"/>
    <n v="3"/>
    <n v="226.34"/>
    <n v="0.15"/>
    <n v="577.16999999999996"/>
    <n v="150.33000000000001"/>
    <s v="Credit Card"/>
  </r>
  <r>
    <x v="96"/>
    <x v="84"/>
    <x v="2"/>
    <x v="0"/>
    <x v="2"/>
    <s v="Tables"/>
    <n v="3"/>
    <n v="412.11"/>
    <n v="0.2"/>
    <n v="989.05"/>
    <n v="107.73"/>
    <s v="Net Banking"/>
  </r>
  <r>
    <x v="97"/>
    <x v="85"/>
    <x v="6"/>
    <x v="1"/>
    <x v="2"/>
    <s v="Chairs"/>
    <n v="9"/>
    <n v="1397.67"/>
    <n v="0.1"/>
    <n v="11321.09"/>
    <n v="2332.4299999999998"/>
    <s v="UPI"/>
  </r>
  <r>
    <x v="98"/>
    <x v="18"/>
    <x v="8"/>
    <x v="2"/>
    <x v="0"/>
    <s v="Paper"/>
    <n v="9"/>
    <n v="775.19"/>
    <n v="0.05"/>
    <n v="6627.86"/>
    <n v="1232.04"/>
    <s v="UPI"/>
  </r>
  <r>
    <x v="99"/>
    <x v="86"/>
    <x v="4"/>
    <x v="1"/>
    <x v="0"/>
    <s v="Pens"/>
    <n v="6"/>
    <n v="1885.68"/>
    <n v="0.1"/>
    <n v="10182.68"/>
    <n v="1361.69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9913C-08FB-4342-8500-2985B79C6FAA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8:I46" firstHeaderRow="0" firstDataRow="1" firstDataCol="1" rowPageCount="2" colPageCount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axis="axisPage" showAll="0">
      <items count="5">
        <item x="1"/>
        <item x="3"/>
        <item x="0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dragToRow="0" dragToCol="0" dragToPage="0" showAll="0" defaultSubtotal="0"/>
  </pivotFields>
  <rowFields count="1">
    <field x="2"/>
  </rowFields>
  <rowItems count="8">
    <i>
      <x/>
    </i>
    <i>
      <x v="1"/>
    </i>
    <i>
      <x v="2"/>
    </i>
    <i>
      <x v="4"/>
    </i>
    <i>
      <x v="5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2">
    <pageField fld="4" item="0" hier="-1"/>
    <pageField fld="3" item="0" hier="-1"/>
  </pageFields>
  <dataFields count="2">
    <dataField name="Sum of Total Sales" fld="9" baseField="0" baseItem="0"/>
    <dataField name="Sum of Field1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58550-C411-407F-A2CA-A4E227D9A122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8:E51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B0954-8382-4445-8843-DD365057E50D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1:I33" firstHeaderRow="1" firstDataRow="2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B9881-506C-48E6-8D34-8F5324D8613B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8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sd="0" x="6"/>
        <item x="0"/>
        <item sd="0" x="8"/>
        <item sd="0" x="7"/>
        <item sd="0" x="4"/>
        <item sd="0" x="5"/>
        <item sd="0" x="9"/>
        <item sd="0" x="2"/>
        <item sd="0" x="3"/>
        <item sd="0"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2">
    <field x="2"/>
    <field x="3"/>
  </rowFields>
  <rowItems count="15">
    <i>
      <x/>
    </i>
    <i>
      <x v="1"/>
    </i>
    <i r="1">
      <x/>
    </i>
    <i r="1">
      <x v="1"/>
    </i>
    <i r="1">
      <x v="2"/>
    </i>
    <i r="1">
      <x v="3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5126F-79A8-4DD0-B334-9A714E69ACA9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4">
    <pivotField showAll="0"/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axis="axisRow" showAll="0">
      <items count="11">
        <item x="6"/>
        <item x="0"/>
        <item x="8"/>
        <item x="7"/>
        <item x="4"/>
        <item x="5"/>
        <item x="9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otal Sales" fld="9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FB3D4-7C8F-4723-823D-A838298E96D3}" name="PivotTable1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4" firstHeaderRow="1" firstDataRow="1" firstDataCol="1"/>
  <pivotFields count="1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14" showAll="0">
      <items count="88">
        <item x="58"/>
        <item x="85"/>
        <item x="46"/>
        <item x="81"/>
        <item x="6"/>
        <item x="24"/>
        <item x="54"/>
        <item x="79"/>
        <item x="65"/>
        <item x="28"/>
        <item x="57"/>
        <item x="34"/>
        <item x="50"/>
        <item x="59"/>
        <item x="36"/>
        <item x="29"/>
        <item x="83"/>
        <item x="4"/>
        <item x="56"/>
        <item x="10"/>
        <item x="44"/>
        <item x="52"/>
        <item x="11"/>
        <item x="0"/>
        <item x="60"/>
        <item x="3"/>
        <item x="7"/>
        <item x="86"/>
        <item x="14"/>
        <item x="40"/>
        <item x="15"/>
        <item x="13"/>
        <item x="80"/>
        <item x="22"/>
        <item x="66"/>
        <item x="42"/>
        <item x="30"/>
        <item x="33"/>
        <item x="31"/>
        <item x="5"/>
        <item x="32"/>
        <item x="63"/>
        <item x="20"/>
        <item x="67"/>
        <item x="55"/>
        <item x="74"/>
        <item x="73"/>
        <item x="8"/>
        <item x="78"/>
        <item x="64"/>
        <item x="26"/>
        <item x="75"/>
        <item x="47"/>
        <item x="37"/>
        <item x="71"/>
        <item x="25"/>
        <item x="17"/>
        <item x="61"/>
        <item x="53"/>
        <item x="48"/>
        <item x="68"/>
        <item x="2"/>
        <item x="43"/>
        <item x="21"/>
        <item x="77"/>
        <item x="19"/>
        <item x="72"/>
        <item x="82"/>
        <item x="70"/>
        <item x="39"/>
        <item x="16"/>
        <item x="62"/>
        <item x="23"/>
        <item x="45"/>
        <item x="38"/>
        <item x="84"/>
        <item x="41"/>
        <item x="9"/>
        <item x="76"/>
        <item x="51"/>
        <item x="18"/>
        <item x="27"/>
        <item x="49"/>
        <item x="1"/>
        <item x="69"/>
        <item x="12"/>
        <item x="3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D205-A67B-49E8-A55C-D1A586790AE4}">
  <dimension ref="A3:I104"/>
  <sheetViews>
    <sheetView tabSelected="1" topLeftCell="A32" zoomScale="70" zoomScaleNormal="70" workbookViewId="0">
      <selection activeCell="H38" sqref="H38"/>
    </sheetView>
  </sheetViews>
  <sheetFormatPr defaultRowHeight="14.5" x14ac:dyDescent="0.35"/>
  <cols>
    <col min="1" max="1" width="13.08984375" bestFit="1" customWidth="1"/>
    <col min="2" max="2" width="16.08984375" bestFit="1" customWidth="1"/>
    <col min="4" max="4" width="13.08984375" bestFit="1" customWidth="1"/>
    <col min="5" max="5" width="17.6328125" bestFit="1" customWidth="1"/>
    <col min="6" max="6" width="8.81640625" bestFit="1" customWidth="1"/>
    <col min="7" max="7" width="13.08984375" bestFit="1" customWidth="1"/>
    <col min="8" max="8" width="16.08984375" bestFit="1" customWidth="1"/>
    <col min="9" max="9" width="12.81640625" customWidth="1"/>
  </cols>
  <sheetData>
    <row r="3" spans="1:8" x14ac:dyDescent="0.35">
      <c r="A3" s="4" t="s">
        <v>142</v>
      </c>
      <c r="B3" t="s">
        <v>144</v>
      </c>
      <c r="D3" s="4" t="s">
        <v>142</v>
      </c>
      <c r="E3" t="s">
        <v>145</v>
      </c>
      <c r="G3" s="4" t="s">
        <v>142</v>
      </c>
      <c r="H3" t="s">
        <v>144</v>
      </c>
    </row>
    <row r="4" spans="1:8" x14ac:dyDescent="0.35">
      <c r="A4" s="5" t="s">
        <v>12</v>
      </c>
      <c r="B4" s="6">
        <v>300.54000000000002</v>
      </c>
      <c r="D4" s="5" t="s">
        <v>44</v>
      </c>
      <c r="E4" s="6">
        <v>12</v>
      </c>
      <c r="G4" s="5" t="s">
        <v>44</v>
      </c>
      <c r="H4" s="6">
        <v>70275.61</v>
      </c>
    </row>
    <row r="5" spans="1:8" x14ac:dyDescent="0.35">
      <c r="A5" s="5" t="s">
        <v>18</v>
      </c>
      <c r="B5" s="6">
        <v>10204.69</v>
      </c>
      <c r="D5" s="5" t="s">
        <v>13</v>
      </c>
      <c r="E5" s="6">
        <v>14</v>
      </c>
      <c r="G5" s="5" t="s">
        <v>13</v>
      </c>
      <c r="H5" s="6">
        <v>47913.880000000005</v>
      </c>
    </row>
    <row r="6" spans="1:8" x14ac:dyDescent="0.35">
      <c r="A6" s="5" t="s">
        <v>24</v>
      </c>
      <c r="B6" s="6">
        <v>4478.1899999999996</v>
      </c>
      <c r="D6" s="5" t="s">
        <v>59</v>
      </c>
      <c r="E6" s="6">
        <v>16</v>
      </c>
      <c r="G6" s="7" t="s">
        <v>20</v>
      </c>
      <c r="H6" s="6">
        <v>17149.39</v>
      </c>
    </row>
    <row r="7" spans="1:8" x14ac:dyDescent="0.35">
      <c r="A7" s="5" t="s">
        <v>27</v>
      </c>
      <c r="B7" s="6">
        <v>5248.92</v>
      </c>
      <c r="D7" s="5" t="s">
        <v>51</v>
      </c>
      <c r="E7" s="6">
        <v>4</v>
      </c>
      <c r="G7" s="7" t="s">
        <v>42</v>
      </c>
      <c r="H7" s="6">
        <v>2600.9299999999998</v>
      </c>
    </row>
    <row r="8" spans="1:8" x14ac:dyDescent="0.35">
      <c r="A8" s="5" t="s">
        <v>31</v>
      </c>
      <c r="B8" s="6">
        <v>5617.94</v>
      </c>
      <c r="D8" s="5" t="s">
        <v>36</v>
      </c>
      <c r="E8" s="6">
        <v>8</v>
      </c>
      <c r="G8" s="7" t="s">
        <v>14</v>
      </c>
      <c r="H8" s="6">
        <v>11312.880000000001</v>
      </c>
    </row>
    <row r="9" spans="1:8" x14ac:dyDescent="0.35">
      <c r="A9" s="5" t="s">
        <v>32</v>
      </c>
      <c r="B9" s="6">
        <v>6809.12</v>
      </c>
      <c r="D9" s="5" t="s">
        <v>38</v>
      </c>
      <c r="E9" s="6">
        <v>9</v>
      </c>
      <c r="G9" s="7" t="s">
        <v>39</v>
      </c>
      <c r="H9" s="6">
        <v>16850.68</v>
      </c>
    </row>
    <row r="10" spans="1:8" x14ac:dyDescent="0.35">
      <c r="A10" s="5" t="s">
        <v>35</v>
      </c>
      <c r="B10" s="6">
        <v>7462.04</v>
      </c>
      <c r="D10" s="5" t="s">
        <v>90</v>
      </c>
      <c r="E10" s="6">
        <v>7</v>
      </c>
      <c r="G10" s="5" t="s">
        <v>59</v>
      </c>
      <c r="H10" s="6">
        <v>79934.310000000012</v>
      </c>
    </row>
    <row r="11" spans="1:8" x14ac:dyDescent="0.35">
      <c r="A11" s="5" t="s">
        <v>37</v>
      </c>
      <c r="B11" s="6">
        <v>12618.01</v>
      </c>
      <c r="D11" s="5" t="s">
        <v>28</v>
      </c>
      <c r="E11" s="6">
        <v>13</v>
      </c>
      <c r="G11" s="5" t="s">
        <v>51</v>
      </c>
      <c r="H11" s="6">
        <v>15214.53</v>
      </c>
    </row>
    <row r="12" spans="1:8" x14ac:dyDescent="0.35">
      <c r="A12" s="5" t="s">
        <v>41</v>
      </c>
      <c r="B12" s="6">
        <v>2600.9299999999998</v>
      </c>
      <c r="D12" s="5" t="s">
        <v>33</v>
      </c>
      <c r="E12" s="6">
        <v>12</v>
      </c>
      <c r="G12" s="5" t="s">
        <v>36</v>
      </c>
      <c r="H12" s="6">
        <v>30250.13</v>
      </c>
    </row>
    <row r="13" spans="1:8" x14ac:dyDescent="0.35">
      <c r="A13" s="5" t="s">
        <v>43</v>
      </c>
      <c r="B13" s="6">
        <v>3093.91</v>
      </c>
      <c r="D13" s="5" t="s">
        <v>19</v>
      </c>
      <c r="E13" s="6">
        <v>5</v>
      </c>
      <c r="G13" s="5" t="s">
        <v>38</v>
      </c>
      <c r="H13" s="6">
        <v>64299.18</v>
      </c>
    </row>
    <row r="14" spans="1:8" x14ac:dyDescent="0.35">
      <c r="A14" s="5" t="s">
        <v>46</v>
      </c>
      <c r="B14" s="6">
        <v>2325.3000000000002</v>
      </c>
      <c r="D14" s="5" t="s">
        <v>143</v>
      </c>
      <c r="E14" s="6">
        <v>100</v>
      </c>
      <c r="G14" s="5" t="s">
        <v>90</v>
      </c>
      <c r="H14" s="6">
        <v>27597.87</v>
      </c>
    </row>
    <row r="15" spans="1:8" x14ac:dyDescent="0.35">
      <c r="A15" s="5" t="s">
        <v>47</v>
      </c>
      <c r="B15" s="6">
        <v>976.78</v>
      </c>
      <c r="G15" s="5" t="s">
        <v>28</v>
      </c>
      <c r="H15" s="6">
        <v>59508.799999999996</v>
      </c>
    </row>
    <row r="16" spans="1:8" x14ac:dyDescent="0.35">
      <c r="A16" s="5" t="s">
        <v>49</v>
      </c>
      <c r="B16" s="6">
        <v>8675.4599999999991</v>
      </c>
      <c r="G16" s="5" t="s">
        <v>33</v>
      </c>
      <c r="H16" s="6">
        <v>57207.4</v>
      </c>
    </row>
    <row r="17" spans="1:9" x14ac:dyDescent="0.35">
      <c r="A17" s="5" t="s">
        <v>50</v>
      </c>
      <c r="B17" s="6">
        <v>5146.6000000000004</v>
      </c>
      <c r="G17" s="5" t="s">
        <v>19</v>
      </c>
      <c r="H17" s="6">
        <v>35277.78</v>
      </c>
    </row>
    <row r="18" spans="1:9" x14ac:dyDescent="0.35">
      <c r="A18" s="5" t="s">
        <v>53</v>
      </c>
      <c r="B18" s="6">
        <v>473.46</v>
      </c>
      <c r="G18" s="5" t="s">
        <v>143</v>
      </c>
      <c r="H18" s="6">
        <v>487479.49</v>
      </c>
    </row>
    <row r="19" spans="1:9" x14ac:dyDescent="0.35">
      <c r="A19" s="5" t="s">
        <v>54</v>
      </c>
      <c r="B19" s="6">
        <v>6344.46</v>
      </c>
    </row>
    <row r="20" spans="1:9" x14ac:dyDescent="0.35">
      <c r="A20" s="5" t="s">
        <v>56</v>
      </c>
      <c r="B20" s="6">
        <v>1522.6</v>
      </c>
    </row>
    <row r="21" spans="1:9" x14ac:dyDescent="0.35">
      <c r="A21" s="5" t="s">
        <v>57</v>
      </c>
      <c r="B21" s="6">
        <v>8148.57</v>
      </c>
      <c r="D21" s="4" t="s">
        <v>144</v>
      </c>
      <c r="E21" s="4" t="s">
        <v>146</v>
      </c>
    </row>
    <row r="22" spans="1:9" x14ac:dyDescent="0.35">
      <c r="A22" s="5" t="s">
        <v>58</v>
      </c>
      <c r="B22" s="6">
        <v>12149.99</v>
      </c>
      <c r="D22" s="4" t="s">
        <v>142</v>
      </c>
      <c r="E22" t="s">
        <v>20</v>
      </c>
      <c r="F22" t="s">
        <v>42</v>
      </c>
      <c r="G22" t="s">
        <v>14</v>
      </c>
      <c r="H22" t="s">
        <v>39</v>
      </c>
      <c r="I22" t="s">
        <v>143</v>
      </c>
    </row>
    <row r="23" spans="1:9" x14ac:dyDescent="0.35">
      <c r="A23" s="5" t="s">
        <v>60</v>
      </c>
      <c r="B23" s="6">
        <v>9796.7000000000007</v>
      </c>
      <c r="D23" s="5" t="s">
        <v>44</v>
      </c>
      <c r="E23" s="6">
        <v>22321.85</v>
      </c>
      <c r="F23" s="6">
        <v>17105.400000000001</v>
      </c>
      <c r="G23" s="6">
        <v>16727.5</v>
      </c>
      <c r="H23" s="6">
        <v>14120.86</v>
      </c>
      <c r="I23" s="6">
        <v>70275.61</v>
      </c>
    </row>
    <row r="24" spans="1:9" x14ac:dyDescent="0.35">
      <c r="A24" s="5" t="s">
        <v>61</v>
      </c>
      <c r="B24" s="6">
        <v>3322.07</v>
      </c>
      <c r="D24" s="5" t="s">
        <v>13</v>
      </c>
      <c r="E24" s="6">
        <v>17149.39</v>
      </c>
      <c r="F24" s="6">
        <v>2600.9299999999998</v>
      </c>
      <c r="G24" s="6">
        <v>11312.880000000001</v>
      </c>
      <c r="H24" s="6">
        <v>16850.68</v>
      </c>
      <c r="I24" s="6">
        <v>47913.880000000005</v>
      </c>
    </row>
    <row r="25" spans="1:9" x14ac:dyDescent="0.35">
      <c r="A25" s="5" t="s">
        <v>62</v>
      </c>
      <c r="B25" s="6">
        <v>582.52</v>
      </c>
      <c r="D25" s="5" t="s">
        <v>59</v>
      </c>
      <c r="E25" s="6">
        <v>4557.87</v>
      </c>
      <c r="F25" s="6">
        <v>32075.27</v>
      </c>
      <c r="G25" s="6">
        <v>18627.189999999999</v>
      </c>
      <c r="H25" s="6">
        <v>24673.98</v>
      </c>
      <c r="I25" s="6">
        <v>79934.31</v>
      </c>
    </row>
    <row r="26" spans="1:9" x14ac:dyDescent="0.35">
      <c r="A26" s="5" t="s">
        <v>63</v>
      </c>
      <c r="B26" s="6">
        <v>10583.44</v>
      </c>
      <c r="D26" s="5" t="s">
        <v>51</v>
      </c>
      <c r="E26" s="6">
        <v>7918.02</v>
      </c>
      <c r="F26" s="6"/>
      <c r="G26" s="6">
        <v>2149.91</v>
      </c>
      <c r="H26" s="6">
        <v>5146.6000000000004</v>
      </c>
      <c r="I26" s="6">
        <v>15214.53</v>
      </c>
    </row>
    <row r="27" spans="1:9" x14ac:dyDescent="0.35">
      <c r="A27" s="5" t="s">
        <v>64</v>
      </c>
      <c r="B27" s="6">
        <v>376.77</v>
      </c>
      <c r="D27" s="5" t="s">
        <v>36</v>
      </c>
      <c r="E27" s="6">
        <v>10559.45</v>
      </c>
      <c r="F27" s="6"/>
      <c r="G27" s="6">
        <v>7462.04</v>
      </c>
      <c r="H27" s="6">
        <v>12228.64</v>
      </c>
      <c r="I27" s="6">
        <v>30250.13</v>
      </c>
    </row>
    <row r="28" spans="1:9" x14ac:dyDescent="0.35">
      <c r="A28" s="5" t="s">
        <v>65</v>
      </c>
      <c r="B28" s="6">
        <v>7559.21</v>
      </c>
      <c r="D28" s="5" t="s">
        <v>38</v>
      </c>
      <c r="E28" s="6">
        <v>21575.109999999997</v>
      </c>
      <c r="F28" s="6">
        <v>17827.64</v>
      </c>
      <c r="G28" s="6">
        <v>233.71</v>
      </c>
      <c r="H28" s="6">
        <v>24662.720000000001</v>
      </c>
      <c r="I28" s="6">
        <v>64299.18</v>
      </c>
    </row>
    <row r="29" spans="1:9" x14ac:dyDescent="0.35">
      <c r="A29" s="5" t="s">
        <v>66</v>
      </c>
      <c r="B29" s="6">
        <v>5004.71</v>
      </c>
      <c r="D29" s="5" t="s">
        <v>90</v>
      </c>
      <c r="E29" s="6">
        <v>4876</v>
      </c>
      <c r="F29" s="6">
        <v>20581.189999999999</v>
      </c>
      <c r="G29" s="6"/>
      <c r="H29" s="6">
        <v>2140.6799999999998</v>
      </c>
      <c r="I29" s="6">
        <v>27597.87</v>
      </c>
    </row>
    <row r="30" spans="1:9" x14ac:dyDescent="0.35">
      <c r="A30" s="5" t="s">
        <v>67</v>
      </c>
      <c r="B30" s="6">
        <v>2200.0500000000002</v>
      </c>
      <c r="D30" s="5" t="s">
        <v>28</v>
      </c>
      <c r="E30" s="6">
        <v>31642.61</v>
      </c>
      <c r="F30" s="6">
        <v>2306.81</v>
      </c>
      <c r="G30" s="6">
        <v>15844.669999999998</v>
      </c>
      <c r="H30" s="6">
        <v>9714.7099999999991</v>
      </c>
      <c r="I30" s="6">
        <v>59508.799999999996</v>
      </c>
    </row>
    <row r="31" spans="1:9" x14ac:dyDescent="0.35">
      <c r="A31" s="5" t="s">
        <v>68</v>
      </c>
      <c r="B31" s="6">
        <v>2306.81</v>
      </c>
      <c r="D31" s="5" t="s">
        <v>33</v>
      </c>
      <c r="E31" s="6">
        <v>24647.840000000004</v>
      </c>
      <c r="F31" s="6">
        <v>12572.260000000002</v>
      </c>
      <c r="G31" s="6">
        <v>19146.86</v>
      </c>
      <c r="H31" s="6">
        <v>840.44</v>
      </c>
      <c r="I31" s="6">
        <v>57207.400000000009</v>
      </c>
    </row>
    <row r="32" spans="1:9" x14ac:dyDescent="0.35">
      <c r="A32" s="5" t="s">
        <v>69</v>
      </c>
      <c r="B32" s="6">
        <v>3758.56</v>
      </c>
      <c r="D32" s="5" t="s">
        <v>19</v>
      </c>
      <c r="E32" s="6">
        <v>11218.630000000001</v>
      </c>
      <c r="F32" s="6"/>
      <c r="G32" s="6">
        <v>4349.3100000000004</v>
      </c>
      <c r="H32" s="6">
        <v>19709.84</v>
      </c>
      <c r="I32" s="6">
        <v>35277.78</v>
      </c>
    </row>
    <row r="33" spans="1:9" x14ac:dyDescent="0.35">
      <c r="A33" s="5" t="s">
        <v>70</v>
      </c>
      <c r="B33" s="6">
        <v>5896.13</v>
      </c>
      <c r="D33" s="5" t="s">
        <v>143</v>
      </c>
      <c r="E33" s="6">
        <v>156466.77000000002</v>
      </c>
      <c r="F33" s="6">
        <v>105069.5</v>
      </c>
      <c r="G33" s="6">
        <v>95854.069999999992</v>
      </c>
      <c r="H33" s="6">
        <v>130089.15</v>
      </c>
      <c r="I33" s="6">
        <v>487479.49</v>
      </c>
    </row>
    <row r="34" spans="1:9" x14ac:dyDescent="0.35">
      <c r="A34" s="5" t="s">
        <v>71</v>
      </c>
      <c r="B34" s="6">
        <v>1013.94</v>
      </c>
    </row>
    <row r="35" spans="1:9" x14ac:dyDescent="0.35">
      <c r="A35" s="5" t="s">
        <v>72</v>
      </c>
      <c r="B35" s="6">
        <v>7335.5</v>
      </c>
      <c r="G35" s="4" t="s">
        <v>4</v>
      </c>
      <c r="H35" t="s">
        <v>25</v>
      </c>
    </row>
    <row r="36" spans="1:9" x14ac:dyDescent="0.35">
      <c r="A36" s="5" t="s">
        <v>73</v>
      </c>
      <c r="B36" s="6">
        <v>1422.01</v>
      </c>
      <c r="G36" s="4" t="s">
        <v>3</v>
      </c>
      <c r="H36" t="s">
        <v>20</v>
      </c>
    </row>
    <row r="37" spans="1:9" x14ac:dyDescent="0.35">
      <c r="A37" s="5" t="s">
        <v>74</v>
      </c>
      <c r="B37" s="6">
        <v>3173.66</v>
      </c>
    </row>
    <row r="38" spans="1:9" x14ac:dyDescent="0.35">
      <c r="A38" s="5" t="s">
        <v>75</v>
      </c>
      <c r="B38" s="6">
        <v>4349.3100000000004</v>
      </c>
      <c r="D38" s="4" t="s">
        <v>142</v>
      </c>
      <c r="E38" t="s">
        <v>144</v>
      </c>
      <c r="G38" s="4" t="s">
        <v>142</v>
      </c>
      <c r="H38" t="s">
        <v>144</v>
      </c>
      <c r="I38" t="s">
        <v>159</v>
      </c>
    </row>
    <row r="39" spans="1:9" x14ac:dyDescent="0.35">
      <c r="A39" s="5" t="s">
        <v>76</v>
      </c>
      <c r="B39" s="6">
        <v>5437.1</v>
      </c>
      <c r="D39" s="5" t="s">
        <v>147</v>
      </c>
      <c r="E39" s="6">
        <v>47322.349999999991</v>
      </c>
      <c r="G39" s="5" t="s">
        <v>44</v>
      </c>
      <c r="H39" s="6">
        <v>11321.09</v>
      </c>
      <c r="I39" s="6">
        <v>1132.1090000000002</v>
      </c>
    </row>
    <row r="40" spans="1:9" x14ac:dyDescent="0.35">
      <c r="A40" s="5" t="s">
        <v>77</v>
      </c>
      <c r="B40" s="6">
        <v>6997.11</v>
      </c>
      <c r="D40" s="5" t="s">
        <v>148</v>
      </c>
      <c r="E40" s="6">
        <v>62559.839999999997</v>
      </c>
      <c r="G40" s="5" t="s">
        <v>13</v>
      </c>
      <c r="H40" s="6">
        <v>14835.169999999998</v>
      </c>
      <c r="I40" s="6">
        <v>1483.5169999999998</v>
      </c>
    </row>
    <row r="41" spans="1:9" x14ac:dyDescent="0.35">
      <c r="A41" s="5" t="s">
        <v>78</v>
      </c>
      <c r="B41" s="6">
        <v>1267.8900000000001</v>
      </c>
      <c r="D41" s="5" t="s">
        <v>149</v>
      </c>
      <c r="E41" s="6">
        <v>19909.03</v>
      </c>
      <c r="G41" s="5" t="s">
        <v>59</v>
      </c>
      <c r="H41" s="6">
        <v>577.16999999999996</v>
      </c>
      <c r="I41" s="6">
        <v>57.716999999999999</v>
      </c>
    </row>
    <row r="42" spans="1:9" x14ac:dyDescent="0.35">
      <c r="A42" s="5" t="s">
        <v>79</v>
      </c>
      <c r="B42" s="6">
        <v>1185.32</v>
      </c>
      <c r="D42" s="5" t="s">
        <v>150</v>
      </c>
      <c r="E42" s="6">
        <v>40714.53</v>
      </c>
      <c r="G42" s="5" t="s">
        <v>36</v>
      </c>
      <c r="H42" s="6">
        <v>376.77</v>
      </c>
      <c r="I42" s="6">
        <v>37.677</v>
      </c>
    </row>
    <row r="43" spans="1:9" x14ac:dyDescent="0.35">
      <c r="A43" s="5" t="s">
        <v>80</v>
      </c>
      <c r="B43" s="6">
        <v>1373.07</v>
      </c>
      <c r="D43" s="5" t="s">
        <v>151</v>
      </c>
      <c r="E43" s="6">
        <v>22554.239999999998</v>
      </c>
      <c r="G43" s="5" t="s">
        <v>38</v>
      </c>
      <c r="H43" s="6">
        <v>1163.1199999999999</v>
      </c>
      <c r="I43" s="6">
        <v>116.312</v>
      </c>
    </row>
    <row r="44" spans="1:9" x14ac:dyDescent="0.35">
      <c r="A44" s="5" t="s">
        <v>81</v>
      </c>
      <c r="B44" s="6">
        <v>3167.88</v>
      </c>
      <c r="D44" s="5" t="s">
        <v>152</v>
      </c>
      <c r="E44" s="6">
        <v>24101.27</v>
      </c>
      <c r="G44" s="5" t="s">
        <v>28</v>
      </c>
      <c r="H44" s="6">
        <v>13982.15</v>
      </c>
      <c r="I44" s="6">
        <v>1398.2150000000001</v>
      </c>
    </row>
    <row r="45" spans="1:9" x14ac:dyDescent="0.35">
      <c r="A45" s="5" t="s">
        <v>82</v>
      </c>
      <c r="B45" s="6">
        <v>1572.91</v>
      </c>
      <c r="D45" s="5" t="s">
        <v>153</v>
      </c>
      <c r="E45" s="6">
        <v>33977.269999999997</v>
      </c>
      <c r="G45" s="5" t="s">
        <v>33</v>
      </c>
      <c r="H45" s="6">
        <v>11403.67</v>
      </c>
      <c r="I45" s="6">
        <v>1140.367</v>
      </c>
    </row>
    <row r="46" spans="1:9" x14ac:dyDescent="0.35">
      <c r="A46" s="5" t="s">
        <v>83</v>
      </c>
      <c r="B46" s="6">
        <v>4231</v>
      </c>
      <c r="D46" s="5" t="s">
        <v>154</v>
      </c>
      <c r="E46" s="6">
        <v>50714.99</v>
      </c>
      <c r="G46" s="5" t="s">
        <v>143</v>
      </c>
      <c r="H46" s="6">
        <v>53659.139999999992</v>
      </c>
      <c r="I46" s="6">
        <v>5365.9139999999998</v>
      </c>
    </row>
    <row r="47" spans="1:9" x14ac:dyDescent="0.35">
      <c r="A47" s="5" t="s">
        <v>84</v>
      </c>
      <c r="B47" s="6">
        <v>330.66</v>
      </c>
      <c r="D47" s="5" t="s">
        <v>155</v>
      </c>
      <c r="E47" s="6">
        <v>42323.599999999991</v>
      </c>
    </row>
    <row r="48" spans="1:9" x14ac:dyDescent="0.35">
      <c r="A48" s="5" t="s">
        <v>85</v>
      </c>
      <c r="B48" s="6">
        <v>1012.04</v>
      </c>
      <c r="D48" s="5" t="s">
        <v>156</v>
      </c>
      <c r="E48" s="6">
        <v>47650.590000000004</v>
      </c>
    </row>
    <row r="49" spans="1:5" x14ac:dyDescent="0.35">
      <c r="A49" s="5" t="s">
        <v>86</v>
      </c>
      <c r="B49" s="6">
        <v>8238.2099999999991</v>
      </c>
      <c r="D49" s="5" t="s">
        <v>157</v>
      </c>
      <c r="E49" s="6">
        <v>40175.599999999999</v>
      </c>
    </row>
    <row r="50" spans="1:5" x14ac:dyDescent="0.35">
      <c r="A50" s="5" t="s">
        <v>87</v>
      </c>
      <c r="B50" s="6">
        <v>2519.3200000000002</v>
      </c>
      <c r="D50" s="5" t="s">
        <v>158</v>
      </c>
      <c r="E50" s="6">
        <v>55476.180000000008</v>
      </c>
    </row>
    <row r="51" spans="1:5" x14ac:dyDescent="0.35">
      <c r="A51" s="5" t="s">
        <v>88</v>
      </c>
      <c r="B51" s="6">
        <v>10686.59</v>
      </c>
      <c r="D51" s="5" t="s">
        <v>143</v>
      </c>
      <c r="E51" s="6">
        <v>487479.48999999993</v>
      </c>
    </row>
    <row r="52" spans="1:5" x14ac:dyDescent="0.35">
      <c r="A52" s="5" t="s">
        <v>89</v>
      </c>
      <c r="B52" s="6">
        <v>2140.6799999999998</v>
      </c>
    </row>
    <row r="53" spans="1:5" x14ac:dyDescent="0.35">
      <c r="A53" s="5" t="s">
        <v>91</v>
      </c>
      <c r="B53" s="6">
        <v>3806.5</v>
      </c>
    </row>
    <row r="54" spans="1:5" x14ac:dyDescent="0.35">
      <c r="A54" s="5" t="s">
        <v>92</v>
      </c>
      <c r="B54" s="6">
        <v>8872.99</v>
      </c>
    </row>
    <row r="55" spans="1:5" x14ac:dyDescent="0.35">
      <c r="A55" s="5" t="s">
        <v>93</v>
      </c>
      <c r="B55" s="6">
        <v>6001.47</v>
      </c>
    </row>
    <row r="56" spans="1:5" x14ac:dyDescent="0.35">
      <c r="A56" s="5" t="s">
        <v>94</v>
      </c>
      <c r="B56" s="6">
        <v>233.71</v>
      </c>
    </row>
    <row r="57" spans="1:5" x14ac:dyDescent="0.35">
      <c r="A57" s="5" t="s">
        <v>95</v>
      </c>
      <c r="B57" s="6">
        <v>4838.9399999999996</v>
      </c>
    </row>
    <row r="58" spans="1:5" x14ac:dyDescent="0.35">
      <c r="A58" s="5" t="s">
        <v>96</v>
      </c>
      <c r="B58" s="6">
        <v>11741.74</v>
      </c>
    </row>
    <row r="59" spans="1:5" x14ac:dyDescent="0.35">
      <c r="A59" s="5" t="s">
        <v>97</v>
      </c>
      <c r="B59" s="6">
        <v>840.44</v>
      </c>
    </row>
    <row r="60" spans="1:5" x14ac:dyDescent="0.35">
      <c r="A60" s="5" t="s">
        <v>98</v>
      </c>
      <c r="B60" s="6">
        <v>12263.42</v>
      </c>
    </row>
    <row r="61" spans="1:5" x14ac:dyDescent="0.35">
      <c r="A61" s="5" t="s">
        <v>99</v>
      </c>
      <c r="B61" s="6">
        <v>7064.98</v>
      </c>
    </row>
    <row r="62" spans="1:5" x14ac:dyDescent="0.35">
      <c r="A62" s="5" t="s">
        <v>100</v>
      </c>
      <c r="B62" s="6">
        <v>2613.0700000000002</v>
      </c>
    </row>
    <row r="63" spans="1:5" x14ac:dyDescent="0.35">
      <c r="A63" s="5" t="s">
        <v>101</v>
      </c>
      <c r="B63" s="6">
        <v>1163.1199999999999</v>
      </c>
    </row>
    <row r="64" spans="1:5" x14ac:dyDescent="0.35">
      <c r="A64" s="5" t="s">
        <v>102</v>
      </c>
      <c r="B64" s="6">
        <v>9714.7099999999991</v>
      </c>
    </row>
    <row r="65" spans="1:2" x14ac:dyDescent="0.35">
      <c r="A65" s="5" t="s">
        <v>103</v>
      </c>
      <c r="B65" s="6">
        <v>4810.63</v>
      </c>
    </row>
    <row r="66" spans="1:2" x14ac:dyDescent="0.35">
      <c r="A66" s="5" t="s">
        <v>104</v>
      </c>
      <c r="B66" s="6">
        <v>4739.04</v>
      </c>
    </row>
    <row r="67" spans="1:2" x14ac:dyDescent="0.35">
      <c r="A67" s="5" t="s">
        <v>105</v>
      </c>
      <c r="B67" s="6">
        <v>12712.73</v>
      </c>
    </row>
    <row r="68" spans="1:2" x14ac:dyDescent="0.35">
      <c r="A68" s="5" t="s">
        <v>106</v>
      </c>
      <c r="B68" s="6">
        <v>3951.65</v>
      </c>
    </row>
    <row r="69" spans="1:2" x14ac:dyDescent="0.35">
      <c r="A69" s="5" t="s">
        <v>107</v>
      </c>
      <c r="B69" s="6">
        <v>1608.18</v>
      </c>
    </row>
    <row r="70" spans="1:2" x14ac:dyDescent="0.35">
      <c r="A70" s="5" t="s">
        <v>108</v>
      </c>
      <c r="B70" s="6">
        <v>892.21</v>
      </c>
    </row>
    <row r="71" spans="1:2" x14ac:dyDescent="0.35">
      <c r="A71" s="5" t="s">
        <v>109</v>
      </c>
      <c r="B71" s="6">
        <v>1709.88</v>
      </c>
    </row>
    <row r="72" spans="1:2" x14ac:dyDescent="0.35">
      <c r="A72" s="5" t="s">
        <v>110</v>
      </c>
      <c r="B72" s="6">
        <v>1461.38</v>
      </c>
    </row>
    <row r="73" spans="1:2" x14ac:dyDescent="0.35">
      <c r="A73" s="5" t="s">
        <v>111</v>
      </c>
      <c r="B73" s="6">
        <v>8463.99</v>
      </c>
    </row>
    <row r="74" spans="1:2" x14ac:dyDescent="0.35">
      <c r="A74" s="5" t="s">
        <v>112</v>
      </c>
      <c r="B74" s="6">
        <v>8790.6</v>
      </c>
    </row>
    <row r="75" spans="1:2" x14ac:dyDescent="0.35">
      <c r="A75" s="5" t="s">
        <v>113</v>
      </c>
      <c r="B75" s="6">
        <v>1455.62</v>
      </c>
    </row>
    <row r="76" spans="1:2" x14ac:dyDescent="0.35">
      <c r="A76" s="5" t="s">
        <v>114</v>
      </c>
      <c r="B76" s="6">
        <v>1350.6</v>
      </c>
    </row>
    <row r="77" spans="1:2" x14ac:dyDescent="0.35">
      <c r="A77" s="5" t="s">
        <v>115</v>
      </c>
      <c r="B77" s="6">
        <v>3891.04</v>
      </c>
    </row>
    <row r="78" spans="1:2" x14ac:dyDescent="0.35">
      <c r="A78" s="5" t="s">
        <v>116</v>
      </c>
      <c r="B78" s="6">
        <v>3420.38</v>
      </c>
    </row>
    <row r="79" spans="1:2" x14ac:dyDescent="0.35">
      <c r="A79" s="5" t="s">
        <v>117</v>
      </c>
      <c r="B79" s="6">
        <v>7270.4</v>
      </c>
    </row>
    <row r="80" spans="1:2" x14ac:dyDescent="0.35">
      <c r="A80" s="5" t="s">
        <v>118</v>
      </c>
      <c r="B80" s="6">
        <v>2238.62</v>
      </c>
    </row>
    <row r="81" spans="1:2" x14ac:dyDescent="0.35">
      <c r="A81" s="5" t="s">
        <v>119</v>
      </c>
      <c r="B81" s="6">
        <v>1611.21</v>
      </c>
    </row>
    <row r="82" spans="1:2" x14ac:dyDescent="0.35">
      <c r="A82" s="5" t="s">
        <v>120</v>
      </c>
      <c r="B82" s="6">
        <v>2478.17</v>
      </c>
    </row>
    <row r="83" spans="1:2" x14ac:dyDescent="0.35">
      <c r="A83" s="5" t="s">
        <v>121</v>
      </c>
      <c r="B83" s="6">
        <v>626.07000000000005</v>
      </c>
    </row>
    <row r="84" spans="1:2" x14ac:dyDescent="0.35">
      <c r="A84" s="5" t="s">
        <v>122</v>
      </c>
      <c r="B84" s="6">
        <v>7756.51</v>
      </c>
    </row>
    <row r="85" spans="1:2" x14ac:dyDescent="0.35">
      <c r="A85" s="5" t="s">
        <v>123</v>
      </c>
      <c r="B85" s="6">
        <v>2541.04</v>
      </c>
    </row>
    <row r="86" spans="1:2" x14ac:dyDescent="0.35">
      <c r="A86" s="5" t="s">
        <v>124</v>
      </c>
      <c r="B86" s="6">
        <v>11483.18</v>
      </c>
    </row>
    <row r="87" spans="1:2" x14ac:dyDescent="0.35">
      <c r="A87" s="5" t="s">
        <v>125</v>
      </c>
      <c r="B87" s="6">
        <v>13708.81</v>
      </c>
    </row>
    <row r="88" spans="1:2" x14ac:dyDescent="0.35">
      <c r="A88" s="5" t="s">
        <v>126</v>
      </c>
      <c r="B88" s="6">
        <v>4257.91</v>
      </c>
    </row>
    <row r="89" spans="1:2" x14ac:dyDescent="0.35">
      <c r="A89" s="5" t="s">
        <v>127</v>
      </c>
      <c r="B89" s="6">
        <v>5669.79</v>
      </c>
    </row>
    <row r="90" spans="1:2" x14ac:dyDescent="0.35">
      <c r="A90" s="5" t="s">
        <v>128</v>
      </c>
      <c r="B90" s="6">
        <v>7505.83</v>
      </c>
    </row>
    <row r="91" spans="1:2" x14ac:dyDescent="0.35">
      <c r="A91" s="5" t="s">
        <v>129</v>
      </c>
      <c r="B91" s="6">
        <v>12987.75</v>
      </c>
    </row>
    <row r="92" spans="1:2" x14ac:dyDescent="0.35">
      <c r="A92" s="5" t="s">
        <v>130</v>
      </c>
      <c r="B92" s="6">
        <v>2149.91</v>
      </c>
    </row>
    <row r="93" spans="1:2" x14ac:dyDescent="0.35">
      <c r="A93" s="5" t="s">
        <v>131</v>
      </c>
      <c r="B93" s="6">
        <v>4729.96</v>
      </c>
    </row>
    <row r="94" spans="1:2" x14ac:dyDescent="0.35">
      <c r="A94" s="5" t="s">
        <v>132</v>
      </c>
      <c r="B94" s="6">
        <v>9889.86</v>
      </c>
    </row>
    <row r="95" spans="1:2" x14ac:dyDescent="0.35">
      <c r="A95" s="5" t="s">
        <v>133</v>
      </c>
      <c r="B95" s="6">
        <v>6503.5</v>
      </c>
    </row>
    <row r="96" spans="1:2" x14ac:dyDescent="0.35">
      <c r="A96" s="5" t="s">
        <v>134</v>
      </c>
      <c r="B96" s="6">
        <v>936.75</v>
      </c>
    </row>
    <row r="97" spans="1:2" x14ac:dyDescent="0.35">
      <c r="A97" s="5" t="s">
        <v>135</v>
      </c>
      <c r="B97" s="6">
        <v>525.75</v>
      </c>
    </row>
    <row r="98" spans="1:2" x14ac:dyDescent="0.35">
      <c r="A98" s="5" t="s">
        <v>136</v>
      </c>
      <c r="B98" s="6">
        <v>1458.92</v>
      </c>
    </row>
    <row r="99" spans="1:2" x14ac:dyDescent="0.35">
      <c r="A99" s="5" t="s">
        <v>137</v>
      </c>
      <c r="B99" s="6">
        <v>577.16999999999996</v>
      </c>
    </row>
    <row r="100" spans="1:2" x14ac:dyDescent="0.35">
      <c r="A100" s="5" t="s">
        <v>138</v>
      </c>
      <c r="B100" s="6">
        <v>989.05</v>
      </c>
    </row>
    <row r="101" spans="1:2" x14ac:dyDescent="0.35">
      <c r="A101" s="5" t="s">
        <v>139</v>
      </c>
      <c r="B101" s="6">
        <v>11321.09</v>
      </c>
    </row>
    <row r="102" spans="1:2" x14ac:dyDescent="0.35">
      <c r="A102" s="5" t="s">
        <v>140</v>
      </c>
      <c r="B102" s="6">
        <v>6627.86</v>
      </c>
    </row>
    <row r="103" spans="1:2" x14ac:dyDescent="0.35">
      <c r="A103" s="5" t="s">
        <v>141</v>
      </c>
      <c r="B103" s="6">
        <v>10182.68</v>
      </c>
    </row>
    <row r="104" spans="1:2" x14ac:dyDescent="0.35">
      <c r="A104" s="5" t="s">
        <v>143</v>
      </c>
      <c r="B104" s="6">
        <v>487479.48999999993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N7" sqref="N7"/>
    </sheetView>
  </sheetViews>
  <sheetFormatPr defaultRowHeight="14.5" x14ac:dyDescent="0.35"/>
  <cols>
    <col min="1" max="1" width="9.1796875" bestFit="1" customWidth="1"/>
    <col min="2" max="2" width="10.1796875" bestFit="1" customWidth="1"/>
    <col min="3" max="3" width="14.453125" bestFit="1" customWidth="1"/>
    <col min="4" max="4" width="6.453125" bestFit="1" customWidth="1"/>
    <col min="5" max="5" width="13.1796875" bestFit="1" customWidth="1"/>
    <col min="6" max="6" width="12" bestFit="1" customWidth="1"/>
    <col min="7" max="7" width="8.1796875" bestFit="1" customWidth="1"/>
    <col min="8" max="8" width="8.90625" bestFit="1" customWidth="1"/>
    <col min="9" max="9" width="8.1796875" bestFit="1" customWidth="1"/>
    <col min="10" max="10" width="9.7265625" bestFit="1" customWidth="1"/>
    <col min="11" max="11" width="7.81640625" bestFit="1" customWidth="1"/>
    <col min="12" max="12" width="1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300.54000000000002</v>
      </c>
      <c r="K2" s="2">
        <v>964.48</v>
      </c>
      <c r="L2" s="2" t="s">
        <v>17</v>
      </c>
    </row>
    <row r="3" spans="1:12" x14ac:dyDescent="0.35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2" x14ac:dyDescent="0.35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2" x14ac:dyDescent="0.35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2" x14ac:dyDescent="0.35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2" x14ac:dyDescent="0.35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2" x14ac:dyDescent="0.35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</row>
    <row r="9" spans="1:12" x14ac:dyDescent="0.35">
      <c r="A9" s="2" t="s">
        <v>37</v>
      </c>
      <c r="B9" s="3">
        <v>45029</v>
      </c>
      <c r="C9" s="2" t="s">
        <v>38</v>
      </c>
      <c r="D9" s="2" t="s">
        <v>39</v>
      </c>
      <c r="E9" s="2" t="s">
        <v>15</v>
      </c>
      <c r="F9" s="2" t="s">
        <v>40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</row>
    <row r="10" spans="1:12" x14ac:dyDescent="0.35">
      <c r="A10" s="2" t="s">
        <v>41</v>
      </c>
      <c r="B10" s="3">
        <v>45048</v>
      </c>
      <c r="C10" s="2" t="s">
        <v>13</v>
      </c>
      <c r="D10" s="2" t="s">
        <v>42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2" x14ac:dyDescent="0.35">
      <c r="A11" s="2" t="s">
        <v>43</v>
      </c>
      <c r="B11" s="3">
        <v>45141</v>
      </c>
      <c r="C11" s="2" t="s">
        <v>44</v>
      </c>
      <c r="D11" s="2" t="s">
        <v>14</v>
      </c>
      <c r="E11" s="2" t="s">
        <v>21</v>
      </c>
      <c r="F11" s="2" t="s">
        <v>45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2" x14ac:dyDescent="0.35">
      <c r="A12" s="2" t="s">
        <v>46</v>
      </c>
      <c r="B12" s="3">
        <v>45257</v>
      </c>
      <c r="C12" s="2" t="s">
        <v>44</v>
      </c>
      <c r="D12" s="2" t="s">
        <v>20</v>
      </c>
      <c r="E12" s="2" t="s">
        <v>21</v>
      </c>
      <c r="F12" s="2" t="s">
        <v>45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</row>
    <row r="13" spans="1:12" x14ac:dyDescent="0.35">
      <c r="A13" s="2" t="s">
        <v>47</v>
      </c>
      <c r="B13" s="3">
        <v>45014</v>
      </c>
      <c r="C13" s="2" t="s">
        <v>33</v>
      </c>
      <c r="D13" s="2" t="s">
        <v>42</v>
      </c>
      <c r="E13" s="2" t="s">
        <v>21</v>
      </c>
      <c r="F13" s="2" t="s">
        <v>48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</row>
    <row r="14" spans="1:12" x14ac:dyDescent="0.35">
      <c r="A14" s="2" t="s">
        <v>49</v>
      </c>
      <c r="B14" s="3">
        <v>45026</v>
      </c>
      <c r="C14" s="2" t="s">
        <v>44</v>
      </c>
      <c r="D14" s="2" t="s">
        <v>20</v>
      </c>
      <c r="E14" s="2" t="s">
        <v>21</v>
      </c>
      <c r="F14" s="2" t="s">
        <v>48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2" x14ac:dyDescent="0.35">
      <c r="A15" s="2" t="s">
        <v>50</v>
      </c>
      <c r="B15" s="3">
        <v>45286</v>
      </c>
      <c r="C15" s="2" t="s">
        <v>51</v>
      </c>
      <c r="D15" s="2" t="s">
        <v>39</v>
      </c>
      <c r="E15" s="2" t="s">
        <v>25</v>
      </c>
      <c r="F15" s="2" t="s">
        <v>52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</row>
    <row r="16" spans="1:12" x14ac:dyDescent="0.35">
      <c r="A16" s="2" t="s">
        <v>53</v>
      </c>
      <c r="B16" s="3">
        <v>45078</v>
      </c>
      <c r="C16" s="2" t="s">
        <v>36</v>
      </c>
      <c r="D16" s="2" t="s">
        <v>39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</row>
    <row r="17" spans="1:12" x14ac:dyDescent="0.35">
      <c r="A17" s="2" t="s">
        <v>54</v>
      </c>
      <c r="B17" s="3">
        <v>45057</v>
      </c>
      <c r="C17" s="2" t="s">
        <v>38</v>
      </c>
      <c r="D17" s="2" t="s">
        <v>42</v>
      </c>
      <c r="E17" s="2" t="s">
        <v>25</v>
      </c>
      <c r="F17" s="2" t="s">
        <v>55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2" x14ac:dyDescent="0.35">
      <c r="A18" s="2" t="s">
        <v>56</v>
      </c>
      <c r="B18" s="3">
        <v>45076</v>
      </c>
      <c r="C18" s="2" t="s">
        <v>36</v>
      </c>
      <c r="D18" s="2" t="s">
        <v>39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2" x14ac:dyDescent="0.35">
      <c r="A19" s="2" t="s">
        <v>57</v>
      </c>
      <c r="B19" s="3">
        <v>45235</v>
      </c>
      <c r="C19" s="2" t="s">
        <v>38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2" x14ac:dyDescent="0.35">
      <c r="A20" s="2" t="s">
        <v>58</v>
      </c>
      <c r="B20" s="3">
        <v>45184</v>
      </c>
      <c r="C20" s="2" t="s">
        <v>59</v>
      </c>
      <c r="D20" s="2" t="s">
        <v>39</v>
      </c>
      <c r="E20" s="2" t="s">
        <v>15</v>
      </c>
      <c r="F20" s="2" t="s">
        <v>40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2" x14ac:dyDescent="0.35">
      <c r="A21" s="2" t="s">
        <v>60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45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2" x14ac:dyDescent="0.35">
      <c r="A22" s="2" t="s">
        <v>61</v>
      </c>
      <c r="B22" s="3">
        <v>45220</v>
      </c>
      <c r="C22" s="2" t="s">
        <v>13</v>
      </c>
      <c r="D22" s="2" t="s">
        <v>39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</row>
    <row r="23" spans="1:12" x14ac:dyDescent="0.35">
      <c r="A23" s="2" t="s">
        <v>62</v>
      </c>
      <c r="B23" s="3">
        <v>45118</v>
      </c>
      <c r="C23" s="2" t="s">
        <v>51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2" x14ac:dyDescent="0.35">
      <c r="A24" s="2" t="s">
        <v>63</v>
      </c>
      <c r="B24" s="3">
        <v>45203</v>
      </c>
      <c r="C24" s="2" t="s">
        <v>33</v>
      </c>
      <c r="D24" s="2" t="s">
        <v>42</v>
      </c>
      <c r="E24" s="2" t="s">
        <v>21</v>
      </c>
      <c r="F24" s="2" t="s">
        <v>48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</row>
    <row r="25" spans="1:12" x14ac:dyDescent="0.35">
      <c r="A25" s="2" t="s">
        <v>64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</row>
    <row r="26" spans="1:12" x14ac:dyDescent="0.35">
      <c r="A26" s="2" t="s">
        <v>65</v>
      </c>
      <c r="B26" s="3">
        <v>45240</v>
      </c>
      <c r="C26" s="2" t="s">
        <v>59</v>
      </c>
      <c r="D26" s="2" t="s">
        <v>42</v>
      </c>
      <c r="E26" s="2" t="s">
        <v>25</v>
      </c>
      <c r="F26" s="2" t="s">
        <v>55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2" x14ac:dyDescent="0.35">
      <c r="A27" s="2" t="s">
        <v>66</v>
      </c>
      <c r="B27" s="3">
        <v>44948</v>
      </c>
      <c r="C27" s="2" t="s">
        <v>13</v>
      </c>
      <c r="D27" s="2" t="s">
        <v>39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2" x14ac:dyDescent="0.35">
      <c r="A28" s="2" t="s">
        <v>67</v>
      </c>
      <c r="B28" s="3">
        <v>45179</v>
      </c>
      <c r="C28" s="2" t="s">
        <v>59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</row>
    <row r="29" spans="1:12" x14ac:dyDescent="0.35">
      <c r="A29" s="2" t="s">
        <v>68</v>
      </c>
      <c r="B29" s="3">
        <v>45162</v>
      </c>
      <c r="C29" s="2" t="s">
        <v>28</v>
      </c>
      <c r="D29" s="2" t="s">
        <v>42</v>
      </c>
      <c r="E29" s="2" t="s">
        <v>15</v>
      </c>
      <c r="F29" s="2" t="s">
        <v>40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</row>
    <row r="30" spans="1:12" x14ac:dyDescent="0.35">
      <c r="A30" s="2" t="s">
        <v>69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55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2" x14ac:dyDescent="0.35">
      <c r="A31" s="2" t="s">
        <v>70</v>
      </c>
      <c r="B31" s="3">
        <v>44975</v>
      </c>
      <c r="C31" s="2" t="s">
        <v>59</v>
      </c>
      <c r="D31" s="2" t="s">
        <v>39</v>
      </c>
      <c r="E31" s="2" t="s">
        <v>25</v>
      </c>
      <c r="F31" s="2" t="s">
        <v>55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</row>
    <row r="32" spans="1:12" x14ac:dyDescent="0.35">
      <c r="A32" s="2" t="s">
        <v>71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45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12" x14ac:dyDescent="0.35">
      <c r="A33" s="2" t="s">
        <v>72</v>
      </c>
      <c r="B33" s="3">
        <v>45096</v>
      </c>
      <c r="C33" s="2" t="s">
        <v>51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</row>
    <row r="34" spans="1:12" x14ac:dyDescent="0.35">
      <c r="A34" s="2" t="s">
        <v>73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</row>
    <row r="35" spans="1:12" x14ac:dyDescent="0.35">
      <c r="A35" s="2" t="s">
        <v>74</v>
      </c>
      <c r="B35" s="3">
        <v>45197</v>
      </c>
      <c r="C35" s="2" t="s">
        <v>36</v>
      </c>
      <c r="D35" s="2" t="s">
        <v>39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12" x14ac:dyDescent="0.35">
      <c r="A36" s="2" t="s">
        <v>75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48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12" x14ac:dyDescent="0.35">
      <c r="A37" s="2" t="s">
        <v>76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12" x14ac:dyDescent="0.35">
      <c r="A38" s="2" t="s">
        <v>77</v>
      </c>
      <c r="B38" s="3">
        <v>44977</v>
      </c>
      <c r="C38" s="2" t="s">
        <v>19</v>
      </c>
      <c r="D38" s="2" t="s">
        <v>39</v>
      </c>
      <c r="E38" s="2" t="s">
        <v>15</v>
      </c>
      <c r="F38" s="2" t="s">
        <v>40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12" x14ac:dyDescent="0.35">
      <c r="A39" s="2" t="s">
        <v>78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52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12" x14ac:dyDescent="0.35">
      <c r="A40" s="2" t="s">
        <v>79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52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</row>
    <row r="41" spans="1:12" x14ac:dyDescent="0.35">
      <c r="A41" s="2" t="s">
        <v>80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</row>
    <row r="42" spans="1:12" x14ac:dyDescent="0.35">
      <c r="A42" s="2" t="s">
        <v>81</v>
      </c>
      <c r="B42" s="3">
        <v>45246</v>
      </c>
      <c r="C42" s="2" t="s">
        <v>36</v>
      </c>
      <c r="D42" s="2" t="s">
        <v>39</v>
      </c>
      <c r="E42" s="2" t="s">
        <v>21</v>
      </c>
      <c r="F42" s="2" t="s">
        <v>45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12" x14ac:dyDescent="0.35">
      <c r="A43" s="2" t="s">
        <v>82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40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12" x14ac:dyDescent="0.35">
      <c r="A44" s="2" t="s">
        <v>83</v>
      </c>
      <c r="B44" s="3">
        <v>45233</v>
      </c>
      <c r="C44" s="2" t="s">
        <v>44</v>
      </c>
      <c r="D44" s="2" t="s">
        <v>39</v>
      </c>
      <c r="E44" s="2" t="s">
        <v>25</v>
      </c>
      <c r="F44" s="2" t="s">
        <v>55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12" x14ac:dyDescent="0.35">
      <c r="A45" s="2" t="s">
        <v>84</v>
      </c>
      <c r="B45" s="3">
        <v>45061</v>
      </c>
      <c r="C45" s="2" t="s">
        <v>44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12" x14ac:dyDescent="0.35">
      <c r="A46" s="2" t="s">
        <v>85</v>
      </c>
      <c r="B46" s="3">
        <v>44947</v>
      </c>
      <c r="C46" s="2" t="s">
        <v>33</v>
      </c>
      <c r="D46" s="2" t="s">
        <v>42</v>
      </c>
      <c r="E46" s="2" t="s">
        <v>25</v>
      </c>
      <c r="F46" s="2" t="s">
        <v>52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12" x14ac:dyDescent="0.35">
      <c r="A47" s="2" t="s">
        <v>86</v>
      </c>
      <c r="B47" s="3">
        <v>45255</v>
      </c>
      <c r="C47" s="2" t="s">
        <v>38</v>
      </c>
      <c r="D47" s="2" t="s">
        <v>39</v>
      </c>
      <c r="E47" s="2" t="s">
        <v>25</v>
      </c>
      <c r="F47" s="2" t="s">
        <v>55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12" x14ac:dyDescent="0.35">
      <c r="A48" s="2" t="s">
        <v>87</v>
      </c>
      <c r="B48" s="3">
        <v>45093</v>
      </c>
      <c r="C48" s="2" t="s">
        <v>59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 x14ac:dyDescent="0.35">
      <c r="A49" s="2" t="s">
        <v>88</v>
      </c>
      <c r="B49" s="3">
        <v>45200</v>
      </c>
      <c r="C49" s="2" t="s">
        <v>44</v>
      </c>
      <c r="D49" s="2" t="s">
        <v>42</v>
      </c>
      <c r="E49" s="2" t="s">
        <v>25</v>
      </c>
      <c r="F49" s="2" t="s">
        <v>55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 x14ac:dyDescent="0.35">
      <c r="A50" s="2" t="s">
        <v>89</v>
      </c>
      <c r="B50" s="3">
        <v>45015</v>
      </c>
      <c r="C50" s="2" t="s">
        <v>90</v>
      </c>
      <c r="D50" s="2" t="s">
        <v>39</v>
      </c>
      <c r="E50" s="2" t="s">
        <v>25</v>
      </c>
      <c r="F50" s="2" t="s">
        <v>52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 x14ac:dyDescent="0.35">
      <c r="A51" s="2" t="s">
        <v>91</v>
      </c>
      <c r="B51" s="3">
        <v>45242</v>
      </c>
      <c r="C51" s="2" t="s">
        <v>38</v>
      </c>
      <c r="D51" s="2" t="s">
        <v>39</v>
      </c>
      <c r="E51" s="2" t="s">
        <v>15</v>
      </c>
      <c r="F51" s="2" t="s">
        <v>40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 x14ac:dyDescent="0.35">
      <c r="A52" s="2" t="s">
        <v>92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55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 x14ac:dyDescent="0.35">
      <c r="A53" s="2" t="s">
        <v>93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40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 x14ac:dyDescent="0.35">
      <c r="A54" s="2" t="s">
        <v>94</v>
      </c>
      <c r="B54" s="3">
        <v>45191</v>
      </c>
      <c r="C54" s="2" t="s">
        <v>38</v>
      </c>
      <c r="D54" s="2" t="s">
        <v>14</v>
      </c>
      <c r="E54" s="2" t="s">
        <v>25</v>
      </c>
      <c r="F54" s="2" t="s">
        <v>52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 x14ac:dyDescent="0.35">
      <c r="A55" s="2" t="s">
        <v>95</v>
      </c>
      <c r="B55" s="3">
        <v>45272</v>
      </c>
      <c r="C55" s="2" t="s">
        <v>44</v>
      </c>
      <c r="D55" s="2" t="s">
        <v>14</v>
      </c>
      <c r="E55" s="2" t="s">
        <v>21</v>
      </c>
      <c r="F55" s="2" t="s">
        <v>48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 x14ac:dyDescent="0.35">
      <c r="A56" s="2" t="s">
        <v>96</v>
      </c>
      <c r="B56" s="3">
        <v>44979</v>
      </c>
      <c r="C56" s="2" t="s">
        <v>90</v>
      </c>
      <c r="D56" s="2" t="s">
        <v>42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 x14ac:dyDescent="0.35">
      <c r="A57" s="2" t="s">
        <v>97</v>
      </c>
      <c r="B57" s="3">
        <v>45266</v>
      </c>
      <c r="C57" s="2" t="s">
        <v>33</v>
      </c>
      <c r="D57" s="2" t="s">
        <v>39</v>
      </c>
      <c r="E57" s="2" t="s">
        <v>21</v>
      </c>
      <c r="F57" s="2" t="s">
        <v>45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 x14ac:dyDescent="0.35">
      <c r="A58" s="2" t="s">
        <v>98</v>
      </c>
      <c r="B58" s="3">
        <v>45018</v>
      </c>
      <c r="C58" s="2" t="s">
        <v>38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 x14ac:dyDescent="0.35">
      <c r="A59" s="2" t="s">
        <v>99</v>
      </c>
      <c r="B59" s="3">
        <v>45190</v>
      </c>
      <c r="C59" s="2" t="s">
        <v>13</v>
      </c>
      <c r="D59" s="2" t="s">
        <v>39</v>
      </c>
      <c r="E59" s="2" t="s">
        <v>25</v>
      </c>
      <c r="F59" s="2" t="s">
        <v>55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 x14ac:dyDescent="0.35">
      <c r="A60" s="2" t="s">
        <v>100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 x14ac:dyDescent="0.35">
      <c r="A61" s="2" t="s">
        <v>101</v>
      </c>
      <c r="B61" s="3">
        <v>45132</v>
      </c>
      <c r="C61" s="2" t="s">
        <v>38</v>
      </c>
      <c r="D61" s="2" t="s">
        <v>20</v>
      </c>
      <c r="E61" s="2" t="s">
        <v>25</v>
      </c>
      <c r="F61" s="2" t="s">
        <v>52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 x14ac:dyDescent="0.35">
      <c r="A62" s="2" t="s">
        <v>102</v>
      </c>
      <c r="B62" s="3">
        <v>45007</v>
      </c>
      <c r="C62" s="2" t="s">
        <v>28</v>
      </c>
      <c r="D62" s="2" t="s">
        <v>39</v>
      </c>
      <c r="E62" s="2" t="s">
        <v>21</v>
      </c>
      <c r="F62" s="2" t="s">
        <v>48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 x14ac:dyDescent="0.35">
      <c r="A63" s="2" t="s">
        <v>103</v>
      </c>
      <c r="B63" s="3">
        <v>44976</v>
      </c>
      <c r="C63" s="2" t="s">
        <v>44</v>
      </c>
      <c r="D63" s="2" t="s">
        <v>42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 x14ac:dyDescent="0.35">
      <c r="A64" s="2" t="s">
        <v>104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55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 x14ac:dyDescent="0.35">
      <c r="A65" s="2" t="s">
        <v>105</v>
      </c>
      <c r="B65" s="3">
        <v>44928</v>
      </c>
      <c r="C65" s="2" t="s">
        <v>19</v>
      </c>
      <c r="D65" s="2" t="s">
        <v>39</v>
      </c>
      <c r="E65" s="2" t="s">
        <v>21</v>
      </c>
      <c r="F65" s="2" t="s">
        <v>48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 x14ac:dyDescent="0.35">
      <c r="A66" s="2" t="s">
        <v>106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 x14ac:dyDescent="0.35">
      <c r="A67" s="2" t="s">
        <v>107</v>
      </c>
      <c r="B67" s="3">
        <v>45032</v>
      </c>
      <c r="C67" s="2" t="s">
        <v>44</v>
      </c>
      <c r="D67" s="2" t="s">
        <v>42</v>
      </c>
      <c r="E67" s="2" t="s">
        <v>21</v>
      </c>
      <c r="F67" s="2" t="s">
        <v>45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 x14ac:dyDescent="0.35">
      <c r="A68" s="2" t="s">
        <v>108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40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 x14ac:dyDescent="0.35">
      <c r="A69" s="2" t="s">
        <v>109</v>
      </c>
      <c r="B69" s="3">
        <v>45236</v>
      </c>
      <c r="C69" s="2" t="s">
        <v>90</v>
      </c>
      <c r="D69" s="2" t="s">
        <v>42</v>
      </c>
      <c r="E69" s="2" t="s">
        <v>25</v>
      </c>
      <c r="F69" s="2" t="s">
        <v>55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 x14ac:dyDescent="0.35">
      <c r="A70" s="2" t="s">
        <v>110</v>
      </c>
      <c r="B70" s="3">
        <v>45117</v>
      </c>
      <c r="C70" s="2" t="s">
        <v>59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 x14ac:dyDescent="0.35">
      <c r="A71" s="2" t="s">
        <v>111</v>
      </c>
      <c r="B71" s="3">
        <v>45144</v>
      </c>
      <c r="C71" s="2" t="s">
        <v>44</v>
      </c>
      <c r="D71" s="2" t="s">
        <v>14</v>
      </c>
      <c r="E71" s="2" t="s">
        <v>21</v>
      </c>
      <c r="F71" s="2" t="s">
        <v>48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 x14ac:dyDescent="0.35">
      <c r="A72" s="2" t="s">
        <v>112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52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 x14ac:dyDescent="0.35">
      <c r="A73" s="2" t="s">
        <v>113</v>
      </c>
      <c r="B73" s="3">
        <v>45088</v>
      </c>
      <c r="C73" s="2" t="s">
        <v>90</v>
      </c>
      <c r="D73" s="2" t="s">
        <v>20</v>
      </c>
      <c r="E73" s="2" t="s">
        <v>15</v>
      </c>
      <c r="F73" s="2" t="s">
        <v>40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 x14ac:dyDescent="0.35">
      <c r="A74" s="2" t="s">
        <v>114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52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 x14ac:dyDescent="0.35">
      <c r="A75" s="2" t="s">
        <v>115</v>
      </c>
      <c r="B75" s="3">
        <v>45196</v>
      </c>
      <c r="C75" s="2" t="s">
        <v>36</v>
      </c>
      <c r="D75" s="2" t="s">
        <v>39</v>
      </c>
      <c r="E75" s="2" t="s">
        <v>25</v>
      </c>
      <c r="F75" s="2" t="s">
        <v>55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 x14ac:dyDescent="0.35">
      <c r="A76" s="2" t="s">
        <v>116</v>
      </c>
      <c r="B76" s="3">
        <v>45277</v>
      </c>
      <c r="C76" s="2" t="s">
        <v>90</v>
      </c>
      <c r="D76" s="2" t="s">
        <v>20</v>
      </c>
      <c r="E76" s="2" t="s">
        <v>21</v>
      </c>
      <c r="F76" s="2" t="s">
        <v>48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 x14ac:dyDescent="0.35">
      <c r="A77" s="2" t="s">
        <v>117</v>
      </c>
      <c r="B77" s="3">
        <v>45230</v>
      </c>
      <c r="C77" s="2" t="s">
        <v>59</v>
      </c>
      <c r="D77" s="2" t="s">
        <v>42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 x14ac:dyDescent="0.35">
      <c r="A78" s="2" t="s">
        <v>118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 x14ac:dyDescent="0.35">
      <c r="A79" s="2" t="s">
        <v>119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 x14ac:dyDescent="0.35">
      <c r="A80" s="2" t="s">
        <v>120</v>
      </c>
      <c r="B80" s="3">
        <v>45178</v>
      </c>
      <c r="C80" s="2" t="s">
        <v>59</v>
      </c>
      <c r="D80" s="2" t="s">
        <v>14</v>
      </c>
      <c r="E80" s="2" t="s">
        <v>25</v>
      </c>
      <c r="F80" s="2" t="s">
        <v>52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 x14ac:dyDescent="0.35">
      <c r="A81" s="2" t="s">
        <v>121</v>
      </c>
      <c r="B81" s="3">
        <v>45116</v>
      </c>
      <c r="C81" s="2" t="s">
        <v>90</v>
      </c>
      <c r="D81" s="2" t="s">
        <v>42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 x14ac:dyDescent="0.35">
      <c r="A82" s="2" t="s">
        <v>122</v>
      </c>
      <c r="B82" s="3">
        <v>45222</v>
      </c>
      <c r="C82" s="2" t="s">
        <v>59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 x14ac:dyDescent="0.35">
      <c r="A83" s="2" t="s">
        <v>123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48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 x14ac:dyDescent="0.35">
      <c r="A84" s="2" t="s">
        <v>124</v>
      </c>
      <c r="B84" s="3">
        <v>45134</v>
      </c>
      <c r="C84" s="2" t="s">
        <v>38</v>
      </c>
      <c r="D84" s="2" t="s">
        <v>42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 x14ac:dyDescent="0.35">
      <c r="A85" s="2" t="s">
        <v>125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48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 x14ac:dyDescent="0.35">
      <c r="A86" s="2" t="s">
        <v>126</v>
      </c>
      <c r="B86" s="3">
        <v>45264</v>
      </c>
      <c r="C86" s="2" t="s">
        <v>59</v>
      </c>
      <c r="D86" s="2" t="s">
        <v>42</v>
      </c>
      <c r="E86" s="2" t="s">
        <v>25</v>
      </c>
      <c r="F86" s="2" t="s">
        <v>52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 x14ac:dyDescent="0.35">
      <c r="A87" s="2" t="s">
        <v>127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40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 x14ac:dyDescent="0.35">
      <c r="A88" s="2" t="s">
        <v>128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 x14ac:dyDescent="0.35">
      <c r="A89" s="2" t="s">
        <v>129</v>
      </c>
      <c r="B89" s="3">
        <v>45143</v>
      </c>
      <c r="C89" s="2" t="s">
        <v>59</v>
      </c>
      <c r="D89" s="2" t="s">
        <v>42</v>
      </c>
      <c r="E89" s="2" t="s">
        <v>15</v>
      </c>
      <c r="F89" s="2" t="s">
        <v>40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 x14ac:dyDescent="0.35">
      <c r="A90" s="2" t="s">
        <v>130</v>
      </c>
      <c r="B90" s="3">
        <v>45178</v>
      </c>
      <c r="C90" s="2" t="s">
        <v>51</v>
      </c>
      <c r="D90" s="2" t="s">
        <v>14</v>
      </c>
      <c r="E90" s="2" t="s">
        <v>15</v>
      </c>
      <c r="F90" s="2" t="s">
        <v>40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 x14ac:dyDescent="0.35">
      <c r="A91" s="2" t="s">
        <v>131</v>
      </c>
      <c r="B91" s="3">
        <v>45114</v>
      </c>
      <c r="C91" s="2" t="s">
        <v>59</v>
      </c>
      <c r="D91" s="2" t="s">
        <v>14</v>
      </c>
      <c r="E91" s="2" t="s">
        <v>21</v>
      </c>
      <c r="F91" s="2" t="s">
        <v>48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 x14ac:dyDescent="0.35">
      <c r="A92" s="2" t="s">
        <v>132</v>
      </c>
      <c r="B92" s="3">
        <v>44967</v>
      </c>
      <c r="C92" s="2" t="s">
        <v>44</v>
      </c>
      <c r="D92" s="2" t="s">
        <v>39</v>
      </c>
      <c r="E92" s="2" t="s">
        <v>25</v>
      </c>
      <c r="F92" s="2" t="s">
        <v>55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 x14ac:dyDescent="0.35">
      <c r="A93" s="2" t="s">
        <v>133</v>
      </c>
      <c r="B93" s="3">
        <v>45083</v>
      </c>
      <c r="C93" s="2" t="s">
        <v>90</v>
      </c>
      <c r="D93" s="2" t="s">
        <v>42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 x14ac:dyDescent="0.35">
      <c r="A94" s="2" t="s">
        <v>134</v>
      </c>
      <c r="B94" s="3">
        <v>44941</v>
      </c>
      <c r="C94" s="2" t="s">
        <v>59</v>
      </c>
      <c r="D94" s="2" t="s">
        <v>14</v>
      </c>
      <c r="E94" s="2" t="s">
        <v>21</v>
      </c>
      <c r="F94" s="2" t="s">
        <v>48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 x14ac:dyDescent="0.35">
      <c r="A95" s="2" t="s">
        <v>135</v>
      </c>
      <c r="B95" s="3">
        <v>45227</v>
      </c>
      <c r="C95" s="2" t="s">
        <v>59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 x14ac:dyDescent="0.35">
      <c r="A96" s="2" t="s">
        <v>136</v>
      </c>
      <c r="B96" s="3">
        <v>44991</v>
      </c>
      <c r="C96" s="2" t="s">
        <v>13</v>
      </c>
      <c r="D96" s="2" t="s">
        <v>39</v>
      </c>
      <c r="E96" s="2" t="s">
        <v>15</v>
      </c>
      <c r="F96" s="2" t="s">
        <v>40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 x14ac:dyDescent="0.35">
      <c r="A97" s="2" t="s">
        <v>137</v>
      </c>
      <c r="B97" s="3">
        <v>45271</v>
      </c>
      <c r="C97" s="2" t="s">
        <v>59</v>
      </c>
      <c r="D97" s="2" t="s">
        <v>20</v>
      </c>
      <c r="E97" s="2" t="s">
        <v>25</v>
      </c>
      <c r="F97" s="2" t="s">
        <v>52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 x14ac:dyDescent="0.35">
      <c r="A98" s="2" t="s">
        <v>138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52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 x14ac:dyDescent="0.35">
      <c r="A99" s="2" t="s">
        <v>139</v>
      </c>
      <c r="B99" s="3">
        <v>44935</v>
      </c>
      <c r="C99" s="2" t="s">
        <v>44</v>
      </c>
      <c r="D99" s="2" t="s">
        <v>20</v>
      </c>
      <c r="E99" s="2" t="s">
        <v>25</v>
      </c>
      <c r="F99" s="2" t="s">
        <v>55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 x14ac:dyDescent="0.35">
      <c r="A100" s="2" t="s">
        <v>140</v>
      </c>
      <c r="B100" s="3">
        <v>45270</v>
      </c>
      <c r="C100" s="2" t="s">
        <v>59</v>
      </c>
      <c r="D100" s="2" t="s">
        <v>39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 x14ac:dyDescent="0.35">
      <c r="A101" s="2" t="s">
        <v>141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Amit Bikram Mishra</cp:lastModifiedBy>
  <dcterms:created xsi:type="dcterms:W3CDTF">2015-06-05T18:17:20Z</dcterms:created>
  <dcterms:modified xsi:type="dcterms:W3CDTF">2026-03-16T08:29:45Z</dcterms:modified>
</cp:coreProperties>
</file>