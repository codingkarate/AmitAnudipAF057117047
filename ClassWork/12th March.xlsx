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IT\Desktop\ANUDIP\AmitAnudipAF057117047\ClassWork\"/>
    </mc:Choice>
  </mc:AlternateContent>
  <xr:revisionPtr revIDLastSave="0" documentId="13_ncr:1_{CD89A4BD-C44E-4A88-82B9-55C8F8E640D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5" i="1" l="1"/>
  <c r="C25" i="1"/>
  <c r="D25" i="1"/>
  <c r="E25" i="1"/>
  <c r="F25" i="1"/>
  <c r="G25" i="1"/>
  <c r="H25" i="1"/>
  <c r="I25" i="1"/>
  <c r="J25" i="1"/>
  <c r="K25" i="1"/>
  <c r="L25" i="1"/>
  <c r="R4" i="1"/>
  <c r="S14" i="1"/>
  <c r="R14" i="1"/>
  <c r="O17" i="1"/>
  <c r="O14" i="1"/>
  <c r="P8" i="1" a="1"/>
  <c r="P8" i="1" s="1"/>
  <c r="O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<sst xmlns="http://schemas.openxmlformats.org/spreadsheetml/2006/main" count="183" uniqueCount="87">
  <si>
    <t>Order ID</t>
  </si>
  <si>
    <t>Order Date</t>
  </si>
  <si>
    <t>Customer Name</t>
  </si>
  <si>
    <t>Region</t>
  </si>
  <si>
    <t>Category</t>
  </si>
  <si>
    <t>Sub-Category</t>
  </si>
  <si>
    <t>Quantity</t>
  </si>
  <si>
    <t>Unit Price</t>
  </si>
  <si>
    <t>Discount</t>
  </si>
  <si>
    <t>Total Sales</t>
  </si>
  <si>
    <t>Profit</t>
  </si>
  <si>
    <t>Payment Mode</t>
  </si>
  <si>
    <t>ORD-1000</t>
  </si>
  <si>
    <t>ORD-1001</t>
  </si>
  <si>
    <t>ORD-1002</t>
  </si>
  <si>
    <t>ORD-1003</t>
  </si>
  <si>
    <t>ORD-1004</t>
  </si>
  <si>
    <t>ORD-1005</t>
  </si>
  <si>
    <t>ORD-1006</t>
  </si>
  <si>
    <t>ORD-1007</t>
  </si>
  <si>
    <t>ORD-1008</t>
  </si>
  <si>
    <t>ORD-1009</t>
  </si>
  <si>
    <t>ORD-1010</t>
  </si>
  <si>
    <t>ORD-1011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</si>
  <si>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</si>
  <si>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</si>
  <si>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</si>
  <si>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</si>
  <si>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</si>
  <si>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</si>
  <si>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</si>
  <si>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</si>
  <si>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13-04-2023</t>
  </si>
  <si>
    <t>15-12-2023</t>
  </si>
  <si>
    <t>28-09-2023</t>
  </si>
  <si>
    <t>17-04-2023</t>
  </si>
  <si>
    <t>13-03-2023</t>
  </si>
  <si>
    <t>08-07-2023</t>
  </si>
  <si>
    <t>21-01-2023</t>
  </si>
  <si>
    <t>02-05-2023</t>
  </si>
  <si>
    <t>03-08-2023</t>
  </si>
  <si>
    <t>27-11-2023</t>
  </si>
  <si>
    <t>29-03-2023</t>
  </si>
  <si>
    <t>10-04-2023</t>
  </si>
  <si>
    <t>26-12-2023</t>
  </si>
  <si>
    <t>01-06-2023</t>
  </si>
  <si>
    <t>11-05-2023</t>
  </si>
  <si>
    <t>30-05-2023</t>
  </si>
  <si>
    <t>05-11-2023</t>
  </si>
  <si>
    <t>15-09-2023</t>
  </si>
  <si>
    <t>10-12-2023</t>
  </si>
  <si>
    <t>Karan</t>
  </si>
  <si>
    <t>Vikram</t>
  </si>
  <si>
    <t>Simran</t>
  </si>
  <si>
    <t>Sneha</t>
  </si>
  <si>
    <t>Priya</t>
  </si>
  <si>
    <t>Raj</t>
  </si>
  <si>
    <t>Amit</t>
  </si>
  <si>
    <t>Pooja</t>
  </si>
  <si>
    <t>Neha</t>
  </si>
  <si>
    <t>South</t>
  </si>
  <si>
    <t>East</t>
  </si>
  <si>
    <t>West</t>
  </si>
  <si>
    <t>North</t>
  </si>
  <si>
    <t>Office Supplies</t>
  </si>
  <si>
    <t>Technology</t>
  </si>
  <si>
    <t>Furniture</t>
  </si>
  <si>
    <t>Pens</t>
  </si>
  <si>
    <t>Laptops</t>
  </si>
  <si>
    <t>Bookcases</t>
  </si>
  <si>
    <t>Paper</t>
  </si>
  <si>
    <t>Binders</t>
  </si>
  <si>
    <t>Printers</t>
  </si>
  <si>
    <t>Mobiles</t>
  </si>
  <si>
    <t>Tables</t>
  </si>
  <si>
    <t>Chairs</t>
  </si>
  <si>
    <t>UPI</t>
  </si>
  <si>
    <t>Cash</t>
  </si>
  <si>
    <t>Net Banking</t>
  </si>
  <si>
    <t>Credit Card</t>
  </si>
  <si>
    <t>Serial No.</t>
  </si>
  <si>
    <t>Value</t>
  </si>
  <si>
    <t>Row no.</t>
  </si>
  <si>
    <t>Col no.</t>
  </si>
  <si>
    <t>Val</t>
  </si>
  <si>
    <t>Position</t>
  </si>
  <si>
    <t>OrderDate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</si>
</sst>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"/>
  <sheetViews>
    <sheetView tabSelected="1" topLeftCell="A13" zoomScale="80" zoomScaleNormal="80" workbookViewId="0">
      <selection activeCell="B26" sqref="B26"/>
    </sheetView>
  </sheetViews>
  <sheetFormatPr defaultRowHeight="14.5" x14ac:dyDescent="0.35"/>
  <cols>
    <col min="1" max="1" width="11.36328125" customWidth="1"/>
    <col min="2" max="2" width="13" customWidth="1"/>
    <col min="3" max="3" width="16.54296875" customWidth="1"/>
    <col min="5" max="5" width="13.54296875" customWidth="1"/>
    <col min="6" max="6" width="16.90625" customWidth="1"/>
    <col min="10" max="10" width="10.08984375" customWidth="1"/>
    <col min="12" max="12" width="14.26953125" customWidth="1"/>
    <col min="17" max="17" width="10.36328125" customWidth="1"/>
    <col min="18" max="18" width="9.54296875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9" x14ac:dyDescent="0.35">
      <c r="A2" s="2" t="s">
        <v>12</v>
      </c>
      <c r="B2" s="2" t="s">
        <v>32</v>
      </c>
      <c r="C2" s="2" t="s">
        <v>51</v>
      </c>
      <c r="D2" s="2" t="s">
        <v>60</v>
      </c>
      <c r="E2" s="2" t="s">
        <v>64</v>
      </c>
      <c r="F2" s="2" t="s">
        <v>67</v>
      </c>
      <c r="G2" s="2">
        <v>3</v>
      </c>
      <c r="H2" s="2">
        <v>1443.03</v>
      </c>
      <c r="I2" s="2">
        <v>0.1</v>
      </c>
      <c r="J2" s="2">
        <v>3896.18</v>
      </c>
      <c r="K2" s="2">
        <v>964.48</v>
      </c>
      <c r="L2" s="2" t="s">
        <v>76</v>
      </c>
    </row>
    <row r="3" spans="1:19" x14ac:dyDescent="0.35">
      <c r="A3" s="2" t="s">
        <v>13</v>
      </c>
      <c r="B3" s="2" t="s">
        <v>33</v>
      </c>
      <c r="C3" s="2" t="s">
        <v>52</v>
      </c>
      <c r="D3" s="2" t="s">
        <v>61</v>
      </c>
      <c r="E3" s="2" t="s">
        <v>65</v>
      </c>
      <c r="F3" s="2" t="s">
        <v>68</v>
      </c>
      <c r="G3" s="2">
        <v>7</v>
      </c>
      <c r="H3" s="2">
        <v>1715.07</v>
      </c>
      <c r="I3" s="2">
        <v>0.15</v>
      </c>
      <c r="J3" s="2">
        <v>10204.69</v>
      </c>
      <c r="K3" s="2">
        <v>1354.41</v>
      </c>
      <c r="L3" s="2" t="s">
        <v>77</v>
      </c>
      <c r="N3" t="s">
        <v>80</v>
      </c>
      <c r="O3" t="s">
        <v>81</v>
      </c>
      <c r="Q3" s="3" t="s">
        <v>86</v>
      </c>
      <c r="R3" s="3" t="s">
        <v>9</v>
      </c>
    </row>
    <row r="4" spans="1:19" x14ac:dyDescent="0.35">
      <c r="A4" s="2" t="s">
        <v>14</v>
      </c>
      <c r="B4" s="2" t="s">
        <v>34</v>
      </c>
      <c r="C4" s="2" t="s">
        <v>51</v>
      </c>
      <c r="D4" s="2" t="s">
        <v>61</v>
      </c>
      <c r="E4" s="2" t="s">
        <v>66</v>
      </c>
      <c r="F4" s="2" t="s">
        <v>69</v>
      </c>
      <c r="G4" s="2">
        <v>8</v>
      </c>
      <c r="H4" s="2">
        <v>621.97</v>
      </c>
      <c r="I4" s="2">
        <v>0.1</v>
      </c>
      <c r="J4" s="2">
        <v>4478.1899999999996</v>
      </c>
      <c r="K4" s="2">
        <v>752.58</v>
      </c>
      <c r="L4" s="2" t="s">
        <v>77</v>
      </c>
      <c r="N4">
        <v>10</v>
      </c>
      <c r="O4" t="str">
        <f>INDEX($A$1:$L$21,11,1)</f>
        <v>ORD-1009</v>
      </c>
      <c r="Q4" s="2" t="s">
        <v>38</v>
      </c>
      <c r="R4">
        <f>INDEX(A1:L21,MATCH(Q4,B1:B21,0),MATCH(R3,A1:L1,0))</f>
        <v>7462.04</v>
      </c>
    </row>
    <row r="5" spans="1:19" x14ac:dyDescent="0.35">
      <c r="A5" s="2" t="s">
        <v>15</v>
      </c>
      <c r="B5" s="2" t="s">
        <v>35</v>
      </c>
      <c r="C5" s="2" t="s">
        <v>53</v>
      </c>
      <c r="D5" s="2" t="s">
        <v>60</v>
      </c>
      <c r="E5" s="2" t="s">
        <v>64</v>
      </c>
      <c r="F5" s="2" t="s">
        <v>70</v>
      </c>
      <c r="G5" s="2">
        <v>5</v>
      </c>
      <c r="H5" s="2">
        <v>1166.43</v>
      </c>
      <c r="I5" s="2">
        <v>0.1</v>
      </c>
      <c r="J5" s="2">
        <v>5248.92</v>
      </c>
      <c r="K5" s="2">
        <v>948.39</v>
      </c>
      <c r="L5" s="2" t="s">
        <v>78</v>
      </c>
    </row>
    <row r="6" spans="1:19" x14ac:dyDescent="0.35">
      <c r="A6" s="2" t="s">
        <v>16</v>
      </c>
      <c r="B6" s="2" t="s">
        <v>36</v>
      </c>
      <c r="C6" s="2" t="s">
        <v>51</v>
      </c>
      <c r="D6" s="2" t="s">
        <v>61</v>
      </c>
      <c r="E6" s="2" t="s">
        <v>66</v>
      </c>
      <c r="F6" s="2" t="s">
        <v>69</v>
      </c>
      <c r="G6" s="2">
        <v>7</v>
      </c>
      <c r="H6" s="2">
        <v>1003.2</v>
      </c>
      <c r="I6" s="2">
        <v>0.2</v>
      </c>
      <c r="J6" s="2">
        <v>5617.94</v>
      </c>
      <c r="K6" s="2">
        <v>995.18</v>
      </c>
      <c r="L6" s="2" t="s">
        <v>76</v>
      </c>
    </row>
    <row r="7" spans="1:19" x14ac:dyDescent="0.35">
      <c r="A7" s="2" t="s">
        <v>17</v>
      </c>
      <c r="B7" s="2" t="s">
        <v>37</v>
      </c>
      <c r="C7" s="2" t="s">
        <v>54</v>
      </c>
      <c r="D7" s="2" t="s">
        <v>60</v>
      </c>
      <c r="E7" s="2" t="s">
        <v>66</v>
      </c>
      <c r="F7" s="2" t="s">
        <v>69</v>
      </c>
      <c r="G7" s="2">
        <v>4</v>
      </c>
      <c r="H7" s="2">
        <v>1891.42</v>
      </c>
      <c r="I7" s="2">
        <v>0.1</v>
      </c>
      <c r="J7" s="2">
        <v>6809.12</v>
      </c>
      <c r="K7" s="2">
        <v>1523.17</v>
      </c>
      <c r="L7" s="2" t="s">
        <v>79</v>
      </c>
      <c r="N7" s="3" t="s">
        <v>82</v>
      </c>
      <c r="O7" s="3" t="s">
        <v>83</v>
      </c>
      <c r="P7" s="3" t="s">
        <v>84</v>
      </c>
    </row>
    <row r="8" spans="1:19" x14ac:dyDescent="0.35">
      <c r="A8" s="2" t="s">
        <v>18</v>
      </c>
      <c r="B8" s="2" t="s">
        <v>38</v>
      </c>
      <c r="C8" s="2" t="s">
        <v>55</v>
      </c>
      <c r="D8" s="2" t="s">
        <v>60</v>
      </c>
      <c r="E8" s="2" t="s">
        <v>65</v>
      </c>
      <c r="F8" s="2" t="s">
        <v>68</v>
      </c>
      <c r="G8" s="2">
        <v>5</v>
      </c>
      <c r="H8" s="2">
        <v>1755.78</v>
      </c>
      <c r="I8" s="2">
        <v>0.15</v>
      </c>
      <c r="J8" s="2">
        <v>7462.04</v>
      </c>
      <c r="K8" s="2">
        <v>780.61</v>
      </c>
      <c r="L8" s="2" t="s">
        <v>77</v>
      </c>
      <c r="N8" s="2">
        <v>4</v>
      </c>
      <c r="O8" s="2">
        <v>5</v>
      </c>
      <c r="P8" s="2" t="str" cm="1">
        <f t="array" ref="P8">INDEX($A$1:$L$21,N8,O8)</f>
        <v>Furniture</v>
      </c>
    </row>
    <row r="9" spans="1:19" x14ac:dyDescent="0.35">
      <c r="A9" s="2" t="s">
        <v>19</v>
      </c>
      <c r="B9" s="2" t="s">
        <v>32</v>
      </c>
      <c r="C9" s="2" t="s">
        <v>56</v>
      </c>
      <c r="D9" s="2" t="s">
        <v>62</v>
      </c>
      <c r="E9" s="2" t="s">
        <v>64</v>
      </c>
      <c r="F9" s="2" t="s">
        <v>71</v>
      </c>
      <c r="G9" s="2">
        <v>7</v>
      </c>
      <c r="H9" s="2">
        <v>1802.57</v>
      </c>
      <c r="I9" s="2">
        <v>0</v>
      </c>
      <c r="J9" s="2">
        <v>12618.01</v>
      </c>
      <c r="K9" s="2">
        <v>1489.34</v>
      </c>
      <c r="L9" s="2" t="s">
        <v>79</v>
      </c>
    </row>
    <row r="10" spans="1:19" x14ac:dyDescent="0.35">
      <c r="A10" s="2" t="s">
        <v>20</v>
      </c>
      <c r="B10" s="2" t="s">
        <v>39</v>
      </c>
      <c r="C10" s="2" t="s">
        <v>51</v>
      </c>
      <c r="D10" s="2" t="s">
        <v>63</v>
      </c>
      <c r="E10" s="2" t="s">
        <v>66</v>
      </c>
      <c r="F10" s="2" t="s">
        <v>69</v>
      </c>
      <c r="G10" s="2">
        <v>7</v>
      </c>
      <c r="H10" s="2">
        <v>412.85</v>
      </c>
      <c r="I10" s="2">
        <v>0.1</v>
      </c>
      <c r="J10" s="2">
        <v>2600.9299999999998</v>
      </c>
      <c r="K10" s="2">
        <v>401.46</v>
      </c>
      <c r="L10" s="2" t="s">
        <v>76</v>
      </c>
    </row>
    <row r="11" spans="1:19" x14ac:dyDescent="0.35">
      <c r="A11" s="2" t="s">
        <v>21</v>
      </c>
      <c r="B11" s="2" t="s">
        <v>40</v>
      </c>
      <c r="C11" s="2" t="s">
        <v>57</v>
      </c>
      <c r="D11" s="2" t="s">
        <v>60</v>
      </c>
      <c r="E11" s="2" t="s">
        <v>65</v>
      </c>
      <c r="F11" s="2" t="s">
        <v>72</v>
      </c>
      <c r="G11" s="2">
        <v>6</v>
      </c>
      <c r="H11" s="2">
        <v>515.65</v>
      </c>
      <c r="I11" s="2">
        <v>0</v>
      </c>
      <c r="J11" s="2">
        <v>3093.91</v>
      </c>
      <c r="K11" s="2">
        <v>467.05</v>
      </c>
      <c r="L11" s="2" t="s">
        <v>78</v>
      </c>
    </row>
    <row r="12" spans="1:19" x14ac:dyDescent="0.35">
      <c r="A12" s="2" t="s">
        <v>22</v>
      </c>
      <c r="B12" s="2" t="s">
        <v>41</v>
      </c>
      <c r="C12" s="2" t="s">
        <v>57</v>
      </c>
      <c r="D12" s="2" t="s">
        <v>61</v>
      </c>
      <c r="E12" s="2" t="s">
        <v>65</v>
      </c>
      <c r="F12" s="2" t="s">
        <v>72</v>
      </c>
      <c r="G12" s="2">
        <v>2</v>
      </c>
      <c r="H12" s="2">
        <v>1453.31</v>
      </c>
      <c r="I12" s="2">
        <v>0.2</v>
      </c>
      <c r="J12" s="2">
        <v>2325.3000000000002</v>
      </c>
      <c r="K12" s="2">
        <v>281.85000000000002</v>
      </c>
      <c r="L12" s="2" t="s">
        <v>79</v>
      </c>
    </row>
    <row r="13" spans="1:19" x14ac:dyDescent="0.35">
      <c r="A13" s="2" t="s">
        <v>23</v>
      </c>
      <c r="B13" s="2" t="s">
        <v>42</v>
      </c>
      <c r="C13" s="2" t="s">
        <v>54</v>
      </c>
      <c r="D13" s="2" t="s">
        <v>63</v>
      </c>
      <c r="E13" s="2" t="s">
        <v>65</v>
      </c>
      <c r="F13" s="2" t="s">
        <v>73</v>
      </c>
      <c r="G13" s="2">
        <v>6</v>
      </c>
      <c r="H13" s="2">
        <v>162.80000000000001</v>
      </c>
      <c r="I13" s="2">
        <v>0</v>
      </c>
      <c r="J13" s="2">
        <v>976.78</v>
      </c>
      <c r="K13" s="2">
        <v>203.74</v>
      </c>
      <c r="L13" s="2" t="s">
        <v>78</v>
      </c>
      <c r="N13" s="3" t="s">
        <v>81</v>
      </c>
      <c r="O13" s="3" t="s">
        <v>85</v>
      </c>
      <c r="Q13" s="3" t="s">
        <v>86</v>
      </c>
      <c r="R13" s="3" t="s">
        <v>9</v>
      </c>
      <c r="S13" s="3" t="s">
        <v>0</v>
      </c>
    </row>
    <row r="14" spans="1:19" x14ac:dyDescent="0.35">
      <c r="A14" s="2" t="s">
        <v>24</v>
      </c>
      <c r="B14" s="2" t="s">
        <v>43</v>
      </c>
      <c r="C14" s="2" t="s">
        <v>57</v>
      </c>
      <c r="D14" s="2" t="s">
        <v>61</v>
      </c>
      <c r="E14" s="2" t="s">
        <v>65</v>
      </c>
      <c r="F14" s="2" t="s">
        <v>73</v>
      </c>
      <c r="G14" s="2">
        <v>7</v>
      </c>
      <c r="H14" s="2">
        <v>1377.06</v>
      </c>
      <c r="I14" s="2">
        <v>0.1</v>
      </c>
      <c r="J14" s="2">
        <v>8675.4599999999991</v>
      </c>
      <c r="K14" s="2">
        <v>1235.5</v>
      </c>
      <c r="L14" s="2" t="s">
        <v>77</v>
      </c>
      <c r="N14" t="s">
        <v>6</v>
      </c>
      <c r="O14">
        <f>MATCH(N14,A1:L1,0)</f>
        <v>7</v>
      </c>
      <c r="Q14" s="2" t="s">
        <v>35</v>
      </c>
      <c r="R14">
        <f>INDEX(J1:J21,MATCH(Q14,B1:B21,0))</f>
        <v>5248.92</v>
      </c>
      <c r="S14" t="str">
        <f>INDEX(A1:A21,MATCH(Q14,B1:B21,0))</f>
        <v>ORD-1003</v>
      </c>
    </row>
    <row r="15" spans="1:19" x14ac:dyDescent="0.35">
      <c r="A15" s="2" t="s">
        <v>25</v>
      </c>
      <c r="B15" s="2" t="s">
        <v>44</v>
      </c>
      <c r="C15" s="2" t="s">
        <v>58</v>
      </c>
      <c r="D15" s="2" t="s">
        <v>62</v>
      </c>
      <c r="E15" s="2" t="s">
        <v>66</v>
      </c>
      <c r="F15" s="2" t="s">
        <v>74</v>
      </c>
      <c r="G15" s="2">
        <v>6</v>
      </c>
      <c r="H15" s="2">
        <v>857.77</v>
      </c>
      <c r="I15" s="2">
        <v>0</v>
      </c>
      <c r="J15" s="2">
        <v>5146.6000000000004</v>
      </c>
      <c r="K15" s="2">
        <v>451.25</v>
      </c>
      <c r="L15" s="2" t="s">
        <v>79</v>
      </c>
    </row>
    <row r="16" spans="1:19" x14ac:dyDescent="0.35">
      <c r="A16" s="2" t="s">
        <v>26</v>
      </c>
      <c r="B16" s="2" t="s">
        <v>45</v>
      </c>
      <c r="C16" s="2" t="s">
        <v>55</v>
      </c>
      <c r="D16" s="2" t="s">
        <v>62</v>
      </c>
      <c r="E16" s="2" t="s">
        <v>64</v>
      </c>
      <c r="F16" s="2" t="s">
        <v>67</v>
      </c>
      <c r="G16" s="2">
        <v>4</v>
      </c>
      <c r="H16" s="2">
        <v>131.52000000000001</v>
      </c>
      <c r="I16" s="2">
        <v>0.1</v>
      </c>
      <c r="J16" s="2">
        <v>473.46</v>
      </c>
      <c r="K16" s="2">
        <v>119.49</v>
      </c>
      <c r="L16" s="2" t="s">
        <v>76</v>
      </c>
      <c r="N16" s="3" t="s">
        <v>81</v>
      </c>
      <c r="O16" s="3" t="s">
        <v>85</v>
      </c>
    </row>
    <row r="17" spans="1:15" x14ac:dyDescent="0.35">
      <c r="A17" s="2" t="s">
        <v>27</v>
      </c>
      <c r="B17" s="2" t="s">
        <v>46</v>
      </c>
      <c r="C17" s="2" t="s">
        <v>56</v>
      </c>
      <c r="D17" s="2" t="s">
        <v>63</v>
      </c>
      <c r="E17" s="2" t="s">
        <v>66</v>
      </c>
      <c r="F17" s="2" t="s">
        <v>75</v>
      </c>
      <c r="G17" s="2">
        <v>8</v>
      </c>
      <c r="H17" s="2">
        <v>834.8</v>
      </c>
      <c r="I17" s="2">
        <v>0.05</v>
      </c>
      <c r="J17" s="2">
        <v>6344.46</v>
      </c>
      <c r="K17" s="2">
        <v>1645.93</v>
      </c>
      <c r="L17" s="2" t="s">
        <v>77</v>
      </c>
      <c r="N17" s="2" t="s">
        <v>21</v>
      </c>
      <c r="O17">
        <f>MATCH(N17,A1:A21,0)</f>
        <v>11</v>
      </c>
    </row>
    <row r="18" spans="1:15" x14ac:dyDescent="0.35">
      <c r="A18" s="2" t="s">
        <v>28</v>
      </c>
      <c r="B18" s="2" t="s">
        <v>47</v>
      </c>
      <c r="C18" s="2" t="s">
        <v>55</v>
      </c>
      <c r="D18" s="2" t="s">
        <v>62</v>
      </c>
      <c r="E18" s="2" t="s">
        <v>64</v>
      </c>
      <c r="F18" s="2" t="s">
        <v>67</v>
      </c>
      <c r="G18" s="2">
        <v>3</v>
      </c>
      <c r="H18" s="2">
        <v>534.25</v>
      </c>
      <c r="I18" s="2">
        <v>0.05</v>
      </c>
      <c r="J18" s="2">
        <v>1522.6</v>
      </c>
      <c r="K18" s="2">
        <v>449.99</v>
      </c>
      <c r="L18" s="2" t="s">
        <v>79</v>
      </c>
    </row>
    <row r="19" spans="1:15" x14ac:dyDescent="0.35">
      <c r="A19" s="2" t="s">
        <v>29</v>
      </c>
      <c r="B19" s="2" t="s">
        <v>48</v>
      </c>
      <c r="C19" s="2" t="s">
        <v>56</v>
      </c>
      <c r="D19" s="2" t="s">
        <v>61</v>
      </c>
      <c r="E19" s="2" t="s">
        <v>65</v>
      </c>
      <c r="F19" s="2" t="s">
        <v>68</v>
      </c>
      <c r="G19" s="2">
        <v>5</v>
      </c>
      <c r="H19" s="2">
        <v>1810.79</v>
      </c>
      <c r="I19" s="2">
        <v>0.1</v>
      </c>
      <c r="J19" s="2">
        <v>8148.57</v>
      </c>
      <c r="K19" s="2">
        <v>791.85</v>
      </c>
      <c r="L19" s="2" t="s">
        <v>76</v>
      </c>
    </row>
    <row r="20" spans="1:15" x14ac:dyDescent="0.35">
      <c r="A20" s="2" t="s">
        <v>30</v>
      </c>
      <c r="B20" s="2" t="s">
        <v>49</v>
      </c>
      <c r="C20" s="2" t="s">
        <v>59</v>
      </c>
      <c r="D20" s="2" t="s">
        <v>62</v>
      </c>
      <c r="E20" s="2" t="s">
        <v>64</v>
      </c>
      <c r="F20" s="2" t="s">
        <v>71</v>
      </c>
      <c r="G20" s="2">
        <v>8</v>
      </c>
      <c r="H20" s="2">
        <v>1786.76</v>
      </c>
      <c r="I20" s="2">
        <v>0.15</v>
      </c>
      <c r="J20" s="2">
        <v>12149.99</v>
      </c>
      <c r="K20" s="2">
        <v>863.07</v>
      </c>
      <c r="L20" s="2" t="s">
        <v>77</v>
      </c>
    </row>
    <row r="21" spans="1:15" x14ac:dyDescent="0.35">
      <c r="A21" s="2" t="s">
        <v>31</v>
      </c>
      <c r="B21" s="2" t="s">
        <v>50</v>
      </c>
      <c r="C21" s="2" t="s">
        <v>54</v>
      </c>
      <c r="D21" s="2" t="s">
        <v>60</v>
      </c>
      <c r="E21" s="2" t="s">
        <v>65</v>
      </c>
      <c r="F21" s="2" t="s">
        <v>72</v>
      </c>
      <c r="G21" s="2">
        <v>9</v>
      </c>
      <c r="H21" s="2">
        <v>1360.65</v>
      </c>
      <c r="I21" s="2">
        <v>0.2</v>
      </c>
      <c r="J21" s="2">
        <v>9796.7000000000007</v>
      </c>
      <c r="K21" s="2">
        <v>1185.21</v>
      </c>
      <c r="L21" s="2" t="s">
        <v>77</v>
      </c>
    </row>
    <row r="24" spans="1:15" x14ac:dyDescent="0.35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6</v>
      </c>
      <c r="H24" s="1" t="s">
        <v>7</v>
      </c>
      <c r="I24" s="1" t="s">
        <v>8</v>
      </c>
      <c r="J24" s="1" t="s">
        <v>9</v>
      </c>
      <c r="K24" s="1" t="s">
        <v>10</v>
      </c>
      <c r="L24" s="1" t="s">
        <v>11</v>
      </c>
    </row>
    <row r="25" spans="1:15" x14ac:dyDescent="0.35">
      <c r="A25" s="2" t="s">
        <v>28</v>
      </c>
      <c r="B25" t="str">
        <f>INDEX(B$1:B$21,MATCH($A$25,$A$1:$A$21,0))</f>
        <v>30-05-2023</v>
      </c>
      <c r="C25" t="str">
        <f t="shared" ref="C25:L25" si="0">INDEX(C$1:C$21,MATCH($A$25,$A$1:$A$21,0))</f>
        <v>Priya</v>
      </c>
      <c r="D25" t="str">
        <f t="shared" si="0"/>
        <v>West</v>
      </c>
      <c r="E25" t="str">
        <f t="shared" si="0"/>
        <v>Office Supplies</v>
      </c>
      <c r="F25" t="str">
        <f t="shared" si="0"/>
        <v>Pens</v>
      </c>
      <c r="G25">
        <f t="shared" si="0"/>
        <v>3</v>
      </c>
      <c r="H25">
        <f t="shared" si="0"/>
        <v>534.25</v>
      </c>
      <c r="I25">
        <f t="shared" si="0"/>
        <v>0.05</v>
      </c>
      <c r="J25">
        <f t="shared" si="0"/>
        <v>1522.6</v>
      </c>
      <c r="K25">
        <f t="shared" si="0"/>
        <v>449.99</v>
      </c>
      <c r="L25" t="str">
        <f t="shared" si="0"/>
        <v>Credit Card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Amit Bikram Mishra</cp:lastModifiedBy>
  <dcterms:created xsi:type="dcterms:W3CDTF">2026-03-11T06:55:54Z</dcterms:created>
  <dcterms:modified xsi:type="dcterms:W3CDTF">2026-03-12T07:33:58Z</dcterms:modified>
</cp:coreProperties>
</file>