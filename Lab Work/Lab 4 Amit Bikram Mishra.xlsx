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MIT\Desktop\ANUDIP\AmitAnudipAF057117047\Lab Work\"/>
    </mc:Choice>
  </mc:AlternateContent>
  <xr:revisionPtr revIDLastSave="0" documentId="13_ncr:1_{B8624E53-9572-4A12-8DF1-3746C9A77D71}" xr6:coauthVersionLast="47" xr6:coauthVersionMax="47" xr10:uidLastSave="{00000000-0000-0000-0000-000000000000}"/>
  <bookViews>
    <workbookView xWindow="-110" yWindow="-110" windowWidth="19420" windowHeight="10300" firstSheet="5" activeTab="16" xr2:uid="{7C66AA12-17D7-4C18-9571-79084A8F6F55}"/>
  </bookViews>
  <sheets>
    <sheet name="Sheet1" sheetId="1" r:id="rId1"/>
    <sheet name="Q1" sheetId="2" r:id="rId2"/>
    <sheet name="Q2" sheetId="4" r:id="rId3"/>
    <sheet name="Q3" sheetId="5" r:id="rId4"/>
    <sheet name="Q4" sheetId="6" r:id="rId5"/>
    <sheet name="Q5" sheetId="7" r:id="rId6"/>
    <sheet name="Q6" sheetId="9" r:id="rId7"/>
    <sheet name="Q7" sheetId="10" r:id="rId8"/>
    <sheet name="Q8" sheetId="11" r:id="rId9"/>
    <sheet name="Q9" sheetId="12" r:id="rId10"/>
    <sheet name="Q10" sheetId="13" r:id="rId11"/>
    <sheet name="Q11" sheetId="14" r:id="rId12"/>
    <sheet name="Q12" sheetId="15" r:id="rId13"/>
    <sheet name="Q13" sheetId="16" r:id="rId14"/>
    <sheet name="Q14" sheetId="17" r:id="rId15"/>
    <sheet name="Q15" sheetId="18" r:id="rId16"/>
    <sheet name="Q16" sheetId="19" r:id="rId17"/>
  </sheets>
  <definedNames>
    <definedName name="_xlnm._FilterDatabase" localSheetId="2" hidden="1">'Q2'!$A$1:$I$11</definedName>
    <definedName name="_xlnm._FilterDatabase" localSheetId="3" hidden="1">'Q3'!$A$1:$I$11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3" i="19" l="1"/>
  <c r="I13" i="15"/>
  <c r="I13" i="13"/>
  <c r="F13" i="12"/>
  <c r="I13" i="16"/>
  <c r="I13" i="14"/>
  <c r="F13" i="11"/>
  <c r="G13" i="10"/>
  <c r="I13" i="9"/>
  <c r="G13" i="7"/>
  <c r="I13" i="6"/>
</calcChain>
</file>

<file path=xl/sharedStrings.xml><?xml version="1.0" encoding="utf-8"?>
<sst xmlns="http://schemas.openxmlformats.org/spreadsheetml/2006/main" count="892" uniqueCount="53">
  <si>
    <t>Order_ID</t>
  </si>
  <si>
    <t>Date</t>
  </si>
  <si>
    <t>Region</t>
  </si>
  <si>
    <t>Salesperson</t>
  </si>
  <si>
    <t>Product</t>
  </si>
  <si>
    <t>Category</t>
  </si>
  <si>
    <t>Quantity</t>
  </si>
  <si>
    <t>Unit_Price</t>
  </si>
  <si>
    <t>Total_Sales</t>
  </si>
  <si>
    <t>East</t>
  </si>
  <si>
    <t>Amit</t>
  </si>
  <si>
    <t>Laptop</t>
  </si>
  <si>
    <t>Electronics</t>
  </si>
  <si>
    <t>West</t>
  </si>
  <si>
    <t>Priya</t>
  </si>
  <si>
    <t>Phone</t>
  </si>
  <si>
    <t>North</t>
  </si>
  <si>
    <t>Rahul</t>
  </si>
  <si>
    <t>Chair</t>
  </si>
  <si>
    <t>Furniture</t>
  </si>
  <si>
    <t>South</t>
  </si>
  <si>
    <t>Neha</t>
  </si>
  <si>
    <t>Table</t>
  </si>
  <si>
    <t>Desk</t>
  </si>
  <si>
    <t>Q1. Sort Total_Sales from Highest to Lowest.</t>
  </si>
  <si>
    <t>Q2. Filter data to show only "Electronics" category.</t>
  </si>
  <si>
    <t>Q3. Filter sales done by Amit in East region.</t>
  </si>
  <si>
    <t>Q4. Find total sales of all orders.</t>
  </si>
  <si>
    <t>Q5. Find total quantity sold.</t>
  </si>
  <si>
    <t>Q6. Find average Total_Sales.</t>
  </si>
  <si>
    <t>Q7. Find average quantity sold per order.</t>
  </si>
  <si>
    <t>Q8. Count total number of orders.</t>
  </si>
  <si>
    <t>Q9. Count number of Furniture orders.</t>
  </si>
  <si>
    <t>Q10. Find total sales for Electronics category.</t>
  </si>
  <si>
    <t>Q11. Find total sales done by Amit.</t>
  </si>
  <si>
    <t>Q12. Total sales of Electronics in East region.</t>
  </si>
  <si>
    <t>Q13. Total sales by Priya in West region.</t>
  </si>
  <si>
    <t>Q14. Highlight Total_Sales greater than 1,00,000.</t>
  </si>
  <si>
    <t>Q15. Highlight Quantity less than 3.</t>
  </si>
  <si>
    <t>Q16. Count orders where:</t>
  </si>
  <si>
    <t>Category = Electronics</t>
  </si>
  <si>
    <t>Quantity &gt; 3</t>
  </si>
  <si>
    <t>Sum of Total_Sales</t>
  </si>
  <si>
    <t>Sum of Total Quantity</t>
  </si>
  <si>
    <t>Average of Total_Sales</t>
  </si>
  <si>
    <t>Average_quantity</t>
  </si>
  <si>
    <t>Total no.of Orders</t>
  </si>
  <si>
    <t>Total no.of orders in furniture</t>
  </si>
  <si>
    <t>Total sales in electronics</t>
  </si>
  <si>
    <t>Total Sales by Amit</t>
  </si>
  <si>
    <t>Total Sales in Electronics in East</t>
  </si>
  <si>
    <t>Total Sales by Priya in West</t>
  </si>
  <si>
    <t>Q16. Count orders where:
Category = Electronics
Quantity &gt;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</si>
</sst>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14" fontId="0" fillId="0" borderId="1" xfId="0" applyNumberFormat="1" applyBorder="1" applyAlignment="1">
      <alignment vertical="center" wrapText="1"/>
    </xf>
    <xf numFmtId="0" fontId="0" fillId="0" borderId="0" xfId="0" applyAlignment="1">
      <alignment horizontal="left" vertical="center" indent="1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Font="1" applyAlignment="1"/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4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B6149-8E81-489F-91E3-C4CF917A52EE}">
  <dimension ref="A1:L21"/>
  <sheetViews>
    <sheetView topLeftCell="A4" workbookViewId="0">
      <selection activeCell="K17" sqref="K17"/>
    </sheetView>
  </sheetViews>
  <sheetFormatPr defaultRowHeight="14.5" x14ac:dyDescent="0.35"/>
  <cols>
    <col min="1" max="1" width="8.54296875" bestFit="1" customWidth="1"/>
    <col min="2" max="2" width="10.36328125" bestFit="1" customWidth="1"/>
    <col min="3" max="3" width="6.81640625" bestFit="1" customWidth="1"/>
    <col min="4" max="4" width="11" bestFit="1" customWidth="1"/>
    <col min="5" max="5" width="7.6328125" bestFit="1" customWidth="1"/>
    <col min="6" max="6" width="9.90625" bestFit="1" customWidth="1"/>
    <col min="7" max="7" width="8.36328125" bestFit="1" customWidth="1"/>
    <col min="8" max="8" width="9.6328125" bestFit="1" customWidth="1"/>
    <col min="9" max="9" width="10.453125" bestFit="1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11" x14ac:dyDescent="0.35">
      <c r="A2" s="2">
        <v>1001</v>
      </c>
      <c r="B2" s="3">
        <v>45296</v>
      </c>
      <c r="C2" s="2" t="s">
        <v>9</v>
      </c>
      <c r="D2" s="2" t="s">
        <v>10</v>
      </c>
      <c r="E2" s="2" t="s">
        <v>11</v>
      </c>
      <c r="F2" s="2" t="s">
        <v>12</v>
      </c>
      <c r="G2" s="2">
        <v>2</v>
      </c>
      <c r="H2" s="2">
        <v>50000</v>
      </c>
      <c r="I2" s="2">
        <v>100000</v>
      </c>
      <c r="K2" t="s">
        <v>24</v>
      </c>
    </row>
    <row r="3" spans="1:11" x14ac:dyDescent="0.35">
      <c r="A3" s="2">
        <v>1002</v>
      </c>
      <c r="B3" s="3">
        <v>45299</v>
      </c>
      <c r="C3" s="2" t="s">
        <v>13</v>
      </c>
      <c r="D3" s="2" t="s">
        <v>14</v>
      </c>
      <c r="E3" s="2" t="s">
        <v>15</v>
      </c>
      <c r="F3" s="2" t="s">
        <v>12</v>
      </c>
      <c r="G3" s="2">
        <v>5</v>
      </c>
      <c r="H3" s="2">
        <v>20000</v>
      </c>
      <c r="I3" s="2">
        <v>100000</v>
      </c>
      <c r="K3" t="s">
        <v>25</v>
      </c>
    </row>
    <row r="4" spans="1:11" x14ac:dyDescent="0.35">
      <c r="A4" s="2">
        <v>1003</v>
      </c>
      <c r="B4" s="3">
        <v>45303</v>
      </c>
      <c r="C4" s="2" t="s">
        <v>16</v>
      </c>
      <c r="D4" s="2" t="s">
        <v>17</v>
      </c>
      <c r="E4" s="2" t="s">
        <v>18</v>
      </c>
      <c r="F4" s="2" t="s">
        <v>19</v>
      </c>
      <c r="G4" s="2">
        <v>10</v>
      </c>
      <c r="H4" s="2">
        <v>3000</v>
      </c>
      <c r="I4" s="2">
        <v>30000</v>
      </c>
      <c r="K4" t="s">
        <v>26</v>
      </c>
    </row>
    <row r="5" spans="1:11" x14ac:dyDescent="0.35">
      <c r="A5" s="2">
        <v>1004</v>
      </c>
      <c r="B5" s="3">
        <v>45306</v>
      </c>
      <c r="C5" s="2" t="s">
        <v>20</v>
      </c>
      <c r="D5" s="2" t="s">
        <v>21</v>
      </c>
      <c r="E5" s="2" t="s">
        <v>22</v>
      </c>
      <c r="F5" s="2" t="s">
        <v>19</v>
      </c>
      <c r="G5" s="2">
        <v>3</v>
      </c>
      <c r="H5" s="2">
        <v>7000</v>
      </c>
      <c r="I5" s="2">
        <v>21000</v>
      </c>
      <c r="K5" t="s">
        <v>27</v>
      </c>
    </row>
    <row r="6" spans="1:11" x14ac:dyDescent="0.35">
      <c r="A6" s="2">
        <v>1005</v>
      </c>
      <c r="B6" s="3">
        <v>45309</v>
      </c>
      <c r="C6" s="2" t="s">
        <v>9</v>
      </c>
      <c r="D6" s="2" t="s">
        <v>10</v>
      </c>
      <c r="E6" s="2" t="s">
        <v>15</v>
      </c>
      <c r="F6" s="2" t="s">
        <v>12</v>
      </c>
      <c r="G6" s="2">
        <v>4</v>
      </c>
      <c r="H6" s="2">
        <v>20000</v>
      </c>
      <c r="I6" s="2">
        <v>80000</v>
      </c>
      <c r="K6" t="s">
        <v>28</v>
      </c>
    </row>
    <row r="7" spans="1:11" x14ac:dyDescent="0.35">
      <c r="A7" s="2">
        <v>1006</v>
      </c>
      <c r="B7" s="3">
        <v>45311</v>
      </c>
      <c r="C7" s="2" t="s">
        <v>13</v>
      </c>
      <c r="D7" s="2" t="s">
        <v>14</v>
      </c>
      <c r="E7" s="2" t="s">
        <v>11</v>
      </c>
      <c r="F7" s="2" t="s">
        <v>12</v>
      </c>
      <c r="G7" s="2">
        <v>1</v>
      </c>
      <c r="H7" s="2">
        <v>50000</v>
      </c>
      <c r="I7" s="2">
        <v>50000</v>
      </c>
      <c r="K7" t="s">
        <v>29</v>
      </c>
    </row>
    <row r="8" spans="1:11" x14ac:dyDescent="0.35">
      <c r="A8" s="2">
        <v>1007</v>
      </c>
      <c r="B8" s="3">
        <v>45316</v>
      </c>
      <c r="C8" s="2" t="s">
        <v>16</v>
      </c>
      <c r="D8" s="2" t="s">
        <v>17</v>
      </c>
      <c r="E8" s="2" t="s">
        <v>23</v>
      </c>
      <c r="F8" s="2" t="s">
        <v>19</v>
      </c>
      <c r="G8" s="2">
        <v>2</v>
      </c>
      <c r="H8" s="2">
        <v>10000</v>
      </c>
      <c r="I8" s="2">
        <v>20000</v>
      </c>
      <c r="K8" t="s">
        <v>30</v>
      </c>
    </row>
    <row r="9" spans="1:11" x14ac:dyDescent="0.35">
      <c r="A9" s="2">
        <v>1008</v>
      </c>
      <c r="B9" s="3">
        <v>45319</v>
      </c>
      <c r="C9" s="2" t="s">
        <v>20</v>
      </c>
      <c r="D9" s="2" t="s">
        <v>21</v>
      </c>
      <c r="E9" s="2" t="s">
        <v>15</v>
      </c>
      <c r="F9" s="2" t="s">
        <v>12</v>
      </c>
      <c r="G9" s="2">
        <v>6</v>
      </c>
      <c r="H9" s="2">
        <v>20000</v>
      </c>
      <c r="I9" s="2">
        <v>120000</v>
      </c>
      <c r="K9" t="s">
        <v>31</v>
      </c>
    </row>
    <row r="10" spans="1:11" x14ac:dyDescent="0.35">
      <c r="A10" s="2">
        <v>1009</v>
      </c>
      <c r="B10" s="3">
        <v>45324</v>
      </c>
      <c r="C10" s="2" t="s">
        <v>9</v>
      </c>
      <c r="D10" s="2" t="s">
        <v>10</v>
      </c>
      <c r="E10" s="2" t="s">
        <v>22</v>
      </c>
      <c r="F10" s="2" t="s">
        <v>19</v>
      </c>
      <c r="G10" s="2">
        <v>5</v>
      </c>
      <c r="H10" s="2">
        <v>7000</v>
      </c>
      <c r="I10" s="2">
        <v>35000</v>
      </c>
      <c r="K10" t="s">
        <v>32</v>
      </c>
    </row>
    <row r="11" spans="1:11" x14ac:dyDescent="0.35">
      <c r="A11" s="2">
        <v>1010</v>
      </c>
      <c r="B11" s="3">
        <v>45327</v>
      </c>
      <c r="C11" s="2" t="s">
        <v>13</v>
      </c>
      <c r="D11" s="2" t="s">
        <v>14</v>
      </c>
      <c r="E11" s="2" t="s">
        <v>18</v>
      </c>
      <c r="F11" s="2" t="s">
        <v>19</v>
      </c>
      <c r="G11" s="2">
        <v>7</v>
      </c>
      <c r="H11" s="2">
        <v>3000</v>
      </c>
      <c r="I11" s="2">
        <v>21000</v>
      </c>
      <c r="K11" t="s">
        <v>33</v>
      </c>
    </row>
    <row r="12" spans="1:11" x14ac:dyDescent="0.35">
      <c r="K12" t="s">
        <v>34</v>
      </c>
    </row>
    <row r="13" spans="1:11" x14ac:dyDescent="0.35">
      <c r="E13" s="5"/>
      <c r="F13" s="5"/>
      <c r="K13" t="s">
        <v>35</v>
      </c>
    </row>
    <row r="14" spans="1:11" x14ac:dyDescent="0.35">
      <c r="K14" t="s">
        <v>36</v>
      </c>
    </row>
    <row r="15" spans="1:11" x14ac:dyDescent="0.35">
      <c r="K15" t="s">
        <v>37</v>
      </c>
    </row>
    <row r="16" spans="1:11" x14ac:dyDescent="0.35">
      <c r="K16" t="s">
        <v>38</v>
      </c>
    </row>
    <row r="17" spans="11:12" x14ac:dyDescent="0.35">
      <c r="K17" t="s">
        <v>39</v>
      </c>
    </row>
    <row r="18" spans="11:12" x14ac:dyDescent="0.35">
      <c r="K18" s="4"/>
      <c r="L18" s="4" t="s">
        <v>40</v>
      </c>
    </row>
    <row r="19" spans="11:12" x14ac:dyDescent="0.35">
      <c r="K19" s="4"/>
      <c r="L19" s="4" t="s">
        <v>41</v>
      </c>
    </row>
    <row r="20" spans="11:12" x14ac:dyDescent="0.35">
      <c r="K20" s="4"/>
    </row>
    <row r="21" spans="11:12" x14ac:dyDescent="0.35">
      <c r="K21" s="4"/>
    </row>
  </sheetData>
  <mergeCells count="1">
    <mergeCell ref="E13:F1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589B0-C3C1-4D01-99AC-CF7BEC280F54}">
  <dimension ref="A1:L21"/>
  <sheetViews>
    <sheetView workbookViewId="0">
      <selection activeCell="I15" sqref="I15"/>
    </sheetView>
  </sheetViews>
  <sheetFormatPr defaultRowHeight="14.5" x14ac:dyDescent="0.35"/>
  <cols>
    <col min="1" max="1" width="8.54296875" bestFit="1" customWidth="1"/>
    <col min="2" max="2" width="10.36328125" bestFit="1" customWidth="1"/>
    <col min="3" max="3" width="6.81640625" bestFit="1" customWidth="1"/>
    <col min="4" max="4" width="11" bestFit="1" customWidth="1"/>
    <col min="5" max="5" width="7.6328125" bestFit="1" customWidth="1"/>
    <col min="6" max="6" width="9.90625" bestFit="1" customWidth="1"/>
    <col min="7" max="7" width="8.36328125" bestFit="1" customWidth="1"/>
    <col min="8" max="8" width="9.6328125" bestFit="1" customWidth="1"/>
    <col min="9" max="9" width="10.453125" bestFit="1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s="2">
        <v>1008</v>
      </c>
      <c r="B2" s="3">
        <v>45319</v>
      </c>
      <c r="C2" s="2" t="s">
        <v>20</v>
      </c>
      <c r="D2" s="2" t="s">
        <v>21</v>
      </c>
      <c r="E2" s="2" t="s">
        <v>15</v>
      </c>
      <c r="F2" s="2" t="s">
        <v>12</v>
      </c>
      <c r="G2" s="2">
        <v>6</v>
      </c>
      <c r="H2" s="2">
        <v>20000</v>
      </c>
      <c r="I2" s="2">
        <v>120000</v>
      </c>
    </row>
    <row r="3" spans="1:9" x14ac:dyDescent="0.35">
      <c r="A3" s="2">
        <v>1001</v>
      </c>
      <c r="B3" s="3">
        <v>45296</v>
      </c>
      <c r="C3" s="2" t="s">
        <v>9</v>
      </c>
      <c r="D3" s="2" t="s">
        <v>10</v>
      </c>
      <c r="E3" s="2" t="s">
        <v>11</v>
      </c>
      <c r="F3" s="2" t="s">
        <v>12</v>
      </c>
      <c r="G3" s="2">
        <v>2</v>
      </c>
      <c r="H3" s="2">
        <v>50000</v>
      </c>
      <c r="I3" s="2">
        <v>100000</v>
      </c>
    </row>
    <row r="4" spans="1:9" x14ac:dyDescent="0.35">
      <c r="A4" s="2">
        <v>1002</v>
      </c>
      <c r="B4" s="3">
        <v>45299</v>
      </c>
      <c r="C4" s="2" t="s">
        <v>13</v>
      </c>
      <c r="D4" s="2" t="s">
        <v>14</v>
      </c>
      <c r="E4" s="2" t="s">
        <v>15</v>
      </c>
      <c r="F4" s="2" t="s">
        <v>12</v>
      </c>
      <c r="G4" s="2">
        <v>5</v>
      </c>
      <c r="H4" s="2">
        <v>20000</v>
      </c>
      <c r="I4" s="2">
        <v>100000</v>
      </c>
    </row>
    <row r="5" spans="1:9" x14ac:dyDescent="0.35">
      <c r="A5" s="2">
        <v>1005</v>
      </c>
      <c r="B5" s="3">
        <v>45309</v>
      </c>
      <c r="C5" s="2" t="s">
        <v>9</v>
      </c>
      <c r="D5" s="2" t="s">
        <v>10</v>
      </c>
      <c r="E5" s="2" t="s">
        <v>15</v>
      </c>
      <c r="F5" s="2" t="s">
        <v>12</v>
      </c>
      <c r="G5" s="2">
        <v>4</v>
      </c>
      <c r="H5" s="2">
        <v>20000</v>
      </c>
      <c r="I5" s="2">
        <v>80000</v>
      </c>
    </row>
    <row r="6" spans="1:9" x14ac:dyDescent="0.35">
      <c r="A6" s="2">
        <v>1006</v>
      </c>
      <c r="B6" s="3">
        <v>45311</v>
      </c>
      <c r="C6" s="2" t="s">
        <v>13</v>
      </c>
      <c r="D6" s="2" t="s">
        <v>14</v>
      </c>
      <c r="E6" s="2" t="s">
        <v>11</v>
      </c>
      <c r="F6" s="2" t="s">
        <v>12</v>
      </c>
      <c r="G6" s="2">
        <v>1</v>
      </c>
      <c r="H6" s="2">
        <v>50000</v>
      </c>
      <c r="I6" s="2">
        <v>50000</v>
      </c>
    </row>
    <row r="7" spans="1:9" x14ac:dyDescent="0.35">
      <c r="A7" s="2">
        <v>1009</v>
      </c>
      <c r="B7" s="3">
        <v>45324</v>
      </c>
      <c r="C7" s="2" t="s">
        <v>9</v>
      </c>
      <c r="D7" s="2" t="s">
        <v>10</v>
      </c>
      <c r="E7" s="2" t="s">
        <v>22</v>
      </c>
      <c r="F7" s="2" t="s">
        <v>19</v>
      </c>
      <c r="G7" s="2">
        <v>5</v>
      </c>
      <c r="H7" s="2">
        <v>7000</v>
      </c>
      <c r="I7" s="2">
        <v>35000</v>
      </c>
    </row>
    <row r="8" spans="1:9" x14ac:dyDescent="0.35">
      <c r="A8" s="2">
        <v>1003</v>
      </c>
      <c r="B8" s="3">
        <v>45303</v>
      </c>
      <c r="C8" s="2" t="s">
        <v>16</v>
      </c>
      <c r="D8" s="2" t="s">
        <v>17</v>
      </c>
      <c r="E8" s="2" t="s">
        <v>18</v>
      </c>
      <c r="F8" s="2" t="s">
        <v>19</v>
      </c>
      <c r="G8" s="2">
        <v>10</v>
      </c>
      <c r="H8" s="2">
        <v>3000</v>
      </c>
      <c r="I8" s="2">
        <v>30000</v>
      </c>
    </row>
    <row r="9" spans="1:9" x14ac:dyDescent="0.35">
      <c r="A9" s="2">
        <v>1004</v>
      </c>
      <c r="B9" s="3">
        <v>45306</v>
      </c>
      <c r="C9" s="2" t="s">
        <v>20</v>
      </c>
      <c r="D9" s="2" t="s">
        <v>21</v>
      </c>
      <c r="E9" s="2" t="s">
        <v>22</v>
      </c>
      <c r="F9" s="2" t="s">
        <v>19</v>
      </c>
      <c r="G9" s="2">
        <v>3</v>
      </c>
      <c r="H9" s="2">
        <v>7000</v>
      </c>
      <c r="I9" s="2">
        <v>21000</v>
      </c>
    </row>
    <row r="10" spans="1:9" x14ac:dyDescent="0.35">
      <c r="A10" s="2">
        <v>1010</v>
      </c>
      <c r="B10" s="3">
        <v>45327</v>
      </c>
      <c r="C10" s="2" t="s">
        <v>13</v>
      </c>
      <c r="D10" s="2" t="s">
        <v>14</v>
      </c>
      <c r="E10" s="2" t="s">
        <v>18</v>
      </c>
      <c r="F10" s="2" t="s">
        <v>19</v>
      </c>
      <c r="G10" s="2">
        <v>7</v>
      </c>
      <c r="H10" s="2">
        <v>3000</v>
      </c>
      <c r="I10" s="2">
        <v>21000</v>
      </c>
    </row>
    <row r="11" spans="1:9" x14ac:dyDescent="0.35">
      <c r="A11" s="2">
        <v>1007</v>
      </c>
      <c r="B11" s="3">
        <v>45316</v>
      </c>
      <c r="C11" s="2" t="s">
        <v>16</v>
      </c>
      <c r="D11" s="2" t="s">
        <v>17</v>
      </c>
      <c r="E11" s="2" t="s">
        <v>23</v>
      </c>
      <c r="F11" s="2" t="s">
        <v>19</v>
      </c>
      <c r="G11" s="2">
        <v>2</v>
      </c>
      <c r="H11" s="2">
        <v>10000</v>
      </c>
      <c r="I11" s="2">
        <v>20000</v>
      </c>
    </row>
    <row r="18" spans="11:12" x14ac:dyDescent="0.35">
      <c r="K18" s="4"/>
      <c r="L18" s="4" t="s">
        <v>40</v>
      </c>
    </row>
    <row r="19" spans="11:12" x14ac:dyDescent="0.35">
      <c r="K19" s="4"/>
      <c r="L19" s="4" t="s">
        <v>41</v>
      </c>
    </row>
    <row r="20" spans="11:12" x14ac:dyDescent="0.35">
      <c r="K20" s="4"/>
    </row>
    <row r="21" spans="11:12" x14ac:dyDescent="0.35">
      <c r="K21" s="4"/>
    </row>
  </sheetData>
  <sortState xmlns:xlrd2="http://schemas.microsoft.com/office/spreadsheetml/2017/richdata2" ref="A2:I11">
    <sortCondition descending="1" ref="I2:I11"/>
  </sortState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A8840C-D0BB-45DE-B559-D71ADDE27B1C}">
  <sheetPr filterMode="1"/>
  <dimension ref="A1:L21"/>
  <sheetViews>
    <sheetView workbookViewId="0">
      <selection activeCell="F17" sqref="F17"/>
    </sheetView>
  </sheetViews>
  <sheetFormatPr defaultRowHeight="14.5" x14ac:dyDescent="0.35"/>
  <cols>
    <col min="1" max="1" width="8.54296875" bestFit="1" customWidth="1"/>
    <col min="2" max="2" width="10.36328125" bestFit="1" customWidth="1"/>
    <col min="3" max="3" width="6.81640625" bestFit="1" customWidth="1"/>
    <col min="4" max="4" width="11" bestFit="1" customWidth="1"/>
    <col min="5" max="5" width="7.6328125" bestFit="1" customWidth="1"/>
    <col min="6" max="6" width="9.90625" bestFit="1" customWidth="1"/>
    <col min="7" max="7" width="8.36328125" bestFit="1" customWidth="1"/>
    <col min="8" max="8" width="9.6328125" bestFit="1" customWidth="1"/>
    <col min="9" max="9" width="10.453125" bestFit="1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s="2">
        <v>1001</v>
      </c>
      <c r="B2" s="3">
        <v>45296</v>
      </c>
      <c r="C2" s="2" t="s">
        <v>9</v>
      </c>
      <c r="D2" s="2" t="s">
        <v>10</v>
      </c>
      <c r="E2" s="2" t="s">
        <v>11</v>
      </c>
      <c r="F2" s="2" t="s">
        <v>12</v>
      </c>
      <c r="G2" s="2">
        <v>2</v>
      </c>
      <c r="H2" s="2">
        <v>50000</v>
      </c>
      <c r="I2" s="2">
        <v>100000</v>
      </c>
    </row>
    <row r="3" spans="1:9" x14ac:dyDescent="0.35">
      <c r="A3" s="2">
        <v>1002</v>
      </c>
      <c r="B3" s="3">
        <v>45299</v>
      </c>
      <c r="C3" s="2" t="s">
        <v>13</v>
      </c>
      <c r="D3" s="2" t="s">
        <v>14</v>
      </c>
      <c r="E3" s="2" t="s">
        <v>15</v>
      </c>
      <c r="F3" s="2" t="s">
        <v>12</v>
      </c>
      <c r="G3" s="2">
        <v>5</v>
      </c>
      <c r="H3" s="2">
        <v>20000</v>
      </c>
      <c r="I3" s="2">
        <v>100000</v>
      </c>
    </row>
    <row r="4" spans="1:9" hidden="1" x14ac:dyDescent="0.35">
      <c r="A4" s="2">
        <v>1003</v>
      </c>
      <c r="B4" s="3">
        <v>45303</v>
      </c>
      <c r="C4" s="2" t="s">
        <v>16</v>
      </c>
      <c r="D4" s="2" t="s">
        <v>17</v>
      </c>
      <c r="E4" s="2" t="s">
        <v>18</v>
      </c>
      <c r="F4" s="2" t="s">
        <v>19</v>
      </c>
      <c r="G4" s="2">
        <v>10</v>
      </c>
      <c r="H4" s="2">
        <v>3000</v>
      </c>
      <c r="I4" s="2">
        <v>30000</v>
      </c>
    </row>
    <row r="5" spans="1:9" hidden="1" x14ac:dyDescent="0.35">
      <c r="A5" s="2">
        <v>1004</v>
      </c>
      <c r="B5" s="3">
        <v>45306</v>
      </c>
      <c r="C5" s="2" t="s">
        <v>20</v>
      </c>
      <c r="D5" s="2" t="s">
        <v>21</v>
      </c>
      <c r="E5" s="2" t="s">
        <v>22</v>
      </c>
      <c r="F5" s="2" t="s">
        <v>19</v>
      </c>
      <c r="G5" s="2">
        <v>3</v>
      </c>
      <c r="H5" s="2">
        <v>7000</v>
      </c>
      <c r="I5" s="2">
        <v>21000</v>
      </c>
    </row>
    <row r="6" spans="1:9" x14ac:dyDescent="0.35">
      <c r="A6" s="2">
        <v>1005</v>
      </c>
      <c r="B6" s="3">
        <v>45309</v>
      </c>
      <c r="C6" s="2" t="s">
        <v>9</v>
      </c>
      <c r="D6" s="2" t="s">
        <v>10</v>
      </c>
      <c r="E6" s="2" t="s">
        <v>15</v>
      </c>
      <c r="F6" s="2" t="s">
        <v>12</v>
      </c>
      <c r="G6" s="2">
        <v>4</v>
      </c>
      <c r="H6" s="2">
        <v>20000</v>
      </c>
      <c r="I6" s="2">
        <v>80000</v>
      </c>
    </row>
    <row r="7" spans="1:9" x14ac:dyDescent="0.35">
      <c r="A7" s="2">
        <v>1006</v>
      </c>
      <c r="B7" s="3">
        <v>45311</v>
      </c>
      <c r="C7" s="2" t="s">
        <v>13</v>
      </c>
      <c r="D7" s="2" t="s">
        <v>14</v>
      </c>
      <c r="E7" s="2" t="s">
        <v>11</v>
      </c>
      <c r="F7" s="2" t="s">
        <v>12</v>
      </c>
      <c r="G7" s="2">
        <v>1</v>
      </c>
      <c r="H7" s="2">
        <v>50000</v>
      </c>
      <c r="I7" s="2">
        <v>50000</v>
      </c>
    </row>
    <row r="8" spans="1:9" hidden="1" x14ac:dyDescent="0.35">
      <c r="A8" s="2">
        <v>1007</v>
      </c>
      <c r="B8" s="3">
        <v>45316</v>
      </c>
      <c r="C8" s="2" t="s">
        <v>16</v>
      </c>
      <c r="D8" s="2" t="s">
        <v>17</v>
      </c>
      <c r="E8" s="2" t="s">
        <v>23</v>
      </c>
      <c r="F8" s="2" t="s">
        <v>19</v>
      </c>
      <c r="G8" s="2">
        <v>2</v>
      </c>
      <c r="H8" s="2">
        <v>10000</v>
      </c>
      <c r="I8" s="2">
        <v>20000</v>
      </c>
    </row>
    <row r="9" spans="1:9" x14ac:dyDescent="0.35">
      <c r="A9" s="2">
        <v>1008</v>
      </c>
      <c r="B9" s="3">
        <v>45319</v>
      </c>
      <c r="C9" s="2" t="s">
        <v>20</v>
      </c>
      <c r="D9" s="2" t="s">
        <v>21</v>
      </c>
      <c r="E9" s="2" t="s">
        <v>15</v>
      </c>
      <c r="F9" s="2" t="s">
        <v>12</v>
      </c>
      <c r="G9" s="2">
        <v>6</v>
      </c>
      <c r="H9" s="2">
        <v>20000</v>
      </c>
      <c r="I9" s="2">
        <v>120000</v>
      </c>
    </row>
    <row r="10" spans="1:9" hidden="1" x14ac:dyDescent="0.35">
      <c r="A10" s="2">
        <v>1009</v>
      </c>
      <c r="B10" s="3">
        <v>45324</v>
      </c>
      <c r="C10" s="2" t="s">
        <v>9</v>
      </c>
      <c r="D10" s="2" t="s">
        <v>10</v>
      </c>
      <c r="E10" s="2" t="s">
        <v>22</v>
      </c>
      <c r="F10" s="2" t="s">
        <v>19</v>
      </c>
      <c r="G10" s="2">
        <v>5</v>
      </c>
      <c r="H10" s="2">
        <v>7000</v>
      </c>
      <c r="I10" s="2">
        <v>35000</v>
      </c>
    </row>
    <row r="11" spans="1:9" hidden="1" x14ac:dyDescent="0.35">
      <c r="A11" s="2">
        <v>1010</v>
      </c>
      <c r="B11" s="3">
        <v>45327</v>
      </c>
      <c r="C11" s="2" t="s">
        <v>13</v>
      </c>
      <c r="D11" s="2" t="s">
        <v>14</v>
      </c>
      <c r="E11" s="2" t="s">
        <v>18</v>
      </c>
      <c r="F11" s="2" t="s">
        <v>19</v>
      </c>
      <c r="G11" s="2">
        <v>7</v>
      </c>
      <c r="H11" s="2">
        <v>3000</v>
      </c>
      <c r="I11" s="2">
        <v>21000</v>
      </c>
    </row>
    <row r="18" spans="11:12" x14ac:dyDescent="0.35">
      <c r="K18" s="4"/>
      <c r="L18" s="4"/>
    </row>
    <row r="19" spans="11:12" x14ac:dyDescent="0.35">
      <c r="K19" s="4"/>
      <c r="L19" s="4"/>
    </row>
    <row r="20" spans="11:12" x14ac:dyDescent="0.35">
      <c r="K20" s="4"/>
    </row>
    <row r="21" spans="11:12" x14ac:dyDescent="0.35">
      <c r="K21" s="4"/>
    </row>
  </sheetData>
  <autoFilter ref="A1:I11" xr:uid="{1DA8840C-D0BB-45DE-B559-D71ADDE27B1C}">
    <filterColumn colId="5">
      <filters>
        <filter val="Electronics"/>
      </filters>
    </filterColumn>
  </autoFilter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EBD179-927C-4C16-9143-BEBC075B37A4}">
  <sheetPr filterMode="1"/>
  <dimension ref="A1:L21"/>
  <sheetViews>
    <sheetView workbookViewId="0">
      <selection activeCell="I19" sqref="I19"/>
    </sheetView>
  </sheetViews>
  <sheetFormatPr defaultRowHeight="14.5" x14ac:dyDescent="0.35"/>
  <cols>
    <col min="1" max="1" width="8.54296875" bestFit="1" customWidth="1"/>
    <col min="2" max="2" width="10.36328125" bestFit="1" customWidth="1"/>
    <col min="3" max="3" width="6.81640625" bestFit="1" customWidth="1"/>
    <col min="4" max="4" width="11" bestFit="1" customWidth="1"/>
    <col min="5" max="5" width="7.6328125" bestFit="1" customWidth="1"/>
    <col min="6" max="6" width="9.90625" bestFit="1" customWidth="1"/>
    <col min="7" max="7" width="8.36328125" bestFit="1" customWidth="1"/>
    <col min="8" max="8" width="9.6328125" bestFit="1" customWidth="1"/>
    <col min="9" max="9" width="10.453125" bestFit="1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s="2">
        <v>1001</v>
      </c>
      <c r="B2" s="3">
        <v>45296</v>
      </c>
      <c r="C2" s="2" t="s">
        <v>9</v>
      </c>
      <c r="D2" s="2" t="s">
        <v>10</v>
      </c>
      <c r="E2" s="2" t="s">
        <v>11</v>
      </c>
      <c r="F2" s="2" t="s">
        <v>12</v>
      </c>
      <c r="G2" s="2">
        <v>2</v>
      </c>
      <c r="H2" s="2">
        <v>50000</v>
      </c>
      <c r="I2" s="2">
        <v>100000</v>
      </c>
    </row>
    <row r="3" spans="1:9" hidden="1" x14ac:dyDescent="0.35">
      <c r="A3" s="2">
        <v>1002</v>
      </c>
      <c r="B3" s="3">
        <v>45299</v>
      </c>
      <c r="C3" s="2" t="s">
        <v>13</v>
      </c>
      <c r="D3" s="2" t="s">
        <v>14</v>
      </c>
      <c r="E3" s="2" t="s">
        <v>15</v>
      </c>
      <c r="F3" s="2" t="s">
        <v>12</v>
      </c>
      <c r="G3" s="2">
        <v>5</v>
      </c>
      <c r="H3" s="2">
        <v>20000</v>
      </c>
      <c r="I3" s="2">
        <v>100000</v>
      </c>
    </row>
    <row r="4" spans="1:9" hidden="1" x14ac:dyDescent="0.35">
      <c r="A4" s="2">
        <v>1003</v>
      </c>
      <c r="B4" s="3">
        <v>45303</v>
      </c>
      <c r="C4" s="2" t="s">
        <v>16</v>
      </c>
      <c r="D4" s="2" t="s">
        <v>17</v>
      </c>
      <c r="E4" s="2" t="s">
        <v>18</v>
      </c>
      <c r="F4" s="2" t="s">
        <v>19</v>
      </c>
      <c r="G4" s="2">
        <v>10</v>
      </c>
      <c r="H4" s="2">
        <v>3000</v>
      </c>
      <c r="I4" s="2">
        <v>30000</v>
      </c>
    </row>
    <row r="5" spans="1:9" hidden="1" x14ac:dyDescent="0.35">
      <c r="A5" s="2">
        <v>1004</v>
      </c>
      <c r="B5" s="3">
        <v>45306</v>
      </c>
      <c r="C5" s="2" t="s">
        <v>20</v>
      </c>
      <c r="D5" s="2" t="s">
        <v>21</v>
      </c>
      <c r="E5" s="2" t="s">
        <v>22</v>
      </c>
      <c r="F5" s="2" t="s">
        <v>19</v>
      </c>
      <c r="G5" s="2">
        <v>3</v>
      </c>
      <c r="H5" s="2">
        <v>7000</v>
      </c>
      <c r="I5" s="2">
        <v>21000</v>
      </c>
    </row>
    <row r="6" spans="1:9" x14ac:dyDescent="0.35">
      <c r="A6" s="2">
        <v>1005</v>
      </c>
      <c r="B6" s="3">
        <v>45309</v>
      </c>
      <c r="C6" s="2" t="s">
        <v>9</v>
      </c>
      <c r="D6" s="2" t="s">
        <v>10</v>
      </c>
      <c r="E6" s="2" t="s">
        <v>15</v>
      </c>
      <c r="F6" s="2" t="s">
        <v>12</v>
      </c>
      <c r="G6" s="2">
        <v>4</v>
      </c>
      <c r="H6" s="2">
        <v>20000</v>
      </c>
      <c r="I6" s="2">
        <v>80000</v>
      </c>
    </row>
    <row r="7" spans="1:9" hidden="1" x14ac:dyDescent="0.35">
      <c r="A7" s="2">
        <v>1006</v>
      </c>
      <c r="B7" s="3">
        <v>45311</v>
      </c>
      <c r="C7" s="2" t="s">
        <v>13</v>
      </c>
      <c r="D7" s="2" t="s">
        <v>14</v>
      </c>
      <c r="E7" s="2" t="s">
        <v>11</v>
      </c>
      <c r="F7" s="2" t="s">
        <v>12</v>
      </c>
      <c r="G7" s="2">
        <v>1</v>
      </c>
      <c r="H7" s="2">
        <v>50000</v>
      </c>
      <c r="I7" s="2">
        <v>50000</v>
      </c>
    </row>
    <row r="8" spans="1:9" hidden="1" x14ac:dyDescent="0.35">
      <c r="A8" s="2">
        <v>1007</v>
      </c>
      <c r="B8" s="3">
        <v>45316</v>
      </c>
      <c r="C8" s="2" t="s">
        <v>16</v>
      </c>
      <c r="D8" s="2" t="s">
        <v>17</v>
      </c>
      <c r="E8" s="2" t="s">
        <v>23</v>
      </c>
      <c r="F8" s="2" t="s">
        <v>19</v>
      </c>
      <c r="G8" s="2">
        <v>2</v>
      </c>
      <c r="H8" s="2">
        <v>10000</v>
      </c>
      <c r="I8" s="2">
        <v>20000</v>
      </c>
    </row>
    <row r="9" spans="1:9" hidden="1" x14ac:dyDescent="0.35">
      <c r="A9" s="2">
        <v>1008</v>
      </c>
      <c r="B9" s="3">
        <v>45319</v>
      </c>
      <c r="C9" s="2" t="s">
        <v>20</v>
      </c>
      <c r="D9" s="2" t="s">
        <v>21</v>
      </c>
      <c r="E9" s="2" t="s">
        <v>15</v>
      </c>
      <c r="F9" s="2" t="s">
        <v>12</v>
      </c>
      <c r="G9" s="2">
        <v>6</v>
      </c>
      <c r="H9" s="2">
        <v>20000</v>
      </c>
      <c r="I9" s="2">
        <v>120000</v>
      </c>
    </row>
    <row r="10" spans="1:9" x14ac:dyDescent="0.35">
      <c r="A10" s="2">
        <v>1009</v>
      </c>
      <c r="B10" s="3">
        <v>45324</v>
      </c>
      <c r="C10" s="2" t="s">
        <v>9</v>
      </c>
      <c r="D10" s="2" t="s">
        <v>10</v>
      </c>
      <c r="E10" s="2" t="s">
        <v>22</v>
      </c>
      <c r="F10" s="2" t="s">
        <v>19</v>
      </c>
      <c r="G10" s="2">
        <v>5</v>
      </c>
      <c r="H10" s="2">
        <v>7000</v>
      </c>
      <c r="I10" s="2">
        <v>35000</v>
      </c>
    </row>
    <row r="11" spans="1:9" hidden="1" x14ac:dyDescent="0.35">
      <c r="A11" s="2">
        <v>1010</v>
      </c>
      <c r="B11" s="3">
        <v>45327</v>
      </c>
      <c r="C11" s="2" t="s">
        <v>13</v>
      </c>
      <c r="D11" s="2" t="s">
        <v>14</v>
      </c>
      <c r="E11" s="2" t="s">
        <v>18</v>
      </c>
      <c r="F11" s="2" t="s">
        <v>19</v>
      </c>
      <c r="G11" s="2">
        <v>7</v>
      </c>
      <c r="H11" s="2">
        <v>3000</v>
      </c>
      <c r="I11" s="2">
        <v>21000</v>
      </c>
    </row>
    <row r="18" spans="11:12" x14ac:dyDescent="0.35">
      <c r="K18" s="4"/>
      <c r="L18" s="4"/>
    </row>
    <row r="19" spans="11:12" x14ac:dyDescent="0.35">
      <c r="K19" s="4"/>
      <c r="L19" s="4"/>
    </row>
    <row r="20" spans="11:12" x14ac:dyDescent="0.35">
      <c r="K20" s="4"/>
    </row>
    <row r="21" spans="11:12" x14ac:dyDescent="0.35">
      <c r="K21" s="4"/>
    </row>
  </sheetData>
  <autoFilter ref="A1:I11" xr:uid="{23EBD179-927C-4C16-9143-BEBC075B37A4}">
    <filterColumn colId="2">
      <filters>
        <filter val="East"/>
      </filters>
    </filterColumn>
  </autoFilter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94C960-689B-4015-8B13-58043D5949DC}">
  <dimension ref="A1:L21"/>
  <sheetViews>
    <sheetView workbookViewId="0">
      <selection activeCell="I13" sqref="I13"/>
    </sheetView>
  </sheetViews>
  <sheetFormatPr defaultRowHeight="14.5" x14ac:dyDescent="0.35"/>
  <cols>
    <col min="1" max="1" width="8.54296875" bestFit="1" customWidth="1"/>
    <col min="2" max="2" width="10.36328125" bestFit="1" customWidth="1"/>
    <col min="3" max="3" width="6.81640625" bestFit="1" customWidth="1"/>
    <col min="4" max="4" width="11" bestFit="1" customWidth="1"/>
    <col min="5" max="5" width="7.6328125" bestFit="1" customWidth="1"/>
    <col min="6" max="6" width="9.90625" bestFit="1" customWidth="1"/>
    <col min="7" max="7" width="8.36328125" bestFit="1" customWidth="1"/>
    <col min="8" max="8" width="9.6328125" bestFit="1" customWidth="1"/>
    <col min="9" max="9" width="10.453125" bestFit="1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s="2">
        <v>1001</v>
      </c>
      <c r="B2" s="3">
        <v>45296</v>
      </c>
      <c r="C2" s="2" t="s">
        <v>9</v>
      </c>
      <c r="D2" s="2" t="s">
        <v>10</v>
      </c>
      <c r="E2" s="2" t="s">
        <v>11</v>
      </c>
      <c r="F2" s="2" t="s">
        <v>12</v>
      </c>
      <c r="G2" s="2">
        <v>2</v>
      </c>
      <c r="H2" s="2">
        <v>50000</v>
      </c>
      <c r="I2" s="2">
        <v>100000</v>
      </c>
    </row>
    <row r="3" spans="1:9" x14ac:dyDescent="0.35">
      <c r="A3" s="2">
        <v>1002</v>
      </c>
      <c r="B3" s="3">
        <v>45299</v>
      </c>
      <c r="C3" s="2" t="s">
        <v>13</v>
      </c>
      <c r="D3" s="2" t="s">
        <v>14</v>
      </c>
      <c r="E3" s="2" t="s">
        <v>15</v>
      </c>
      <c r="F3" s="2" t="s">
        <v>12</v>
      </c>
      <c r="G3" s="2">
        <v>5</v>
      </c>
      <c r="H3" s="2">
        <v>20000</v>
      </c>
      <c r="I3" s="2">
        <v>100000</v>
      </c>
    </row>
    <row r="4" spans="1:9" x14ac:dyDescent="0.35">
      <c r="A4" s="2">
        <v>1003</v>
      </c>
      <c r="B4" s="3">
        <v>45303</v>
      </c>
      <c r="C4" s="2" t="s">
        <v>16</v>
      </c>
      <c r="D4" s="2" t="s">
        <v>17</v>
      </c>
      <c r="E4" s="2" t="s">
        <v>18</v>
      </c>
      <c r="F4" s="2" t="s">
        <v>19</v>
      </c>
      <c r="G4" s="2">
        <v>10</v>
      </c>
      <c r="H4" s="2">
        <v>3000</v>
      </c>
      <c r="I4" s="2">
        <v>30000</v>
      </c>
    </row>
    <row r="5" spans="1:9" x14ac:dyDescent="0.35">
      <c r="A5" s="2">
        <v>1004</v>
      </c>
      <c r="B5" s="3">
        <v>45306</v>
      </c>
      <c r="C5" s="2" t="s">
        <v>20</v>
      </c>
      <c r="D5" s="2" t="s">
        <v>21</v>
      </c>
      <c r="E5" s="2" t="s">
        <v>22</v>
      </c>
      <c r="F5" s="2" t="s">
        <v>19</v>
      </c>
      <c r="G5" s="2">
        <v>3</v>
      </c>
      <c r="H5" s="2">
        <v>7000</v>
      </c>
      <c r="I5" s="2">
        <v>21000</v>
      </c>
    </row>
    <row r="6" spans="1:9" x14ac:dyDescent="0.35">
      <c r="A6" s="2">
        <v>1005</v>
      </c>
      <c r="B6" s="3">
        <v>45309</v>
      </c>
      <c r="C6" s="2" t="s">
        <v>9</v>
      </c>
      <c r="D6" s="2" t="s">
        <v>10</v>
      </c>
      <c r="E6" s="2" t="s">
        <v>15</v>
      </c>
      <c r="F6" s="2" t="s">
        <v>12</v>
      </c>
      <c r="G6" s="2">
        <v>4</v>
      </c>
      <c r="H6" s="2">
        <v>20000</v>
      </c>
      <c r="I6" s="2">
        <v>80000</v>
      </c>
    </row>
    <row r="7" spans="1:9" x14ac:dyDescent="0.35">
      <c r="A7" s="2">
        <v>1006</v>
      </c>
      <c r="B7" s="3">
        <v>45311</v>
      </c>
      <c r="C7" s="2" t="s">
        <v>13</v>
      </c>
      <c r="D7" s="2" t="s">
        <v>14</v>
      </c>
      <c r="E7" s="2" t="s">
        <v>11</v>
      </c>
      <c r="F7" s="2" t="s">
        <v>12</v>
      </c>
      <c r="G7" s="2">
        <v>1</v>
      </c>
      <c r="H7" s="2">
        <v>50000</v>
      </c>
      <c r="I7" s="2">
        <v>50000</v>
      </c>
    </row>
    <row r="8" spans="1:9" x14ac:dyDescent="0.35">
      <c r="A8" s="2">
        <v>1007</v>
      </c>
      <c r="B8" s="3">
        <v>45316</v>
      </c>
      <c r="C8" s="2" t="s">
        <v>16</v>
      </c>
      <c r="D8" s="2" t="s">
        <v>17</v>
      </c>
      <c r="E8" s="2" t="s">
        <v>23</v>
      </c>
      <c r="F8" s="2" t="s">
        <v>19</v>
      </c>
      <c r="G8" s="2">
        <v>2</v>
      </c>
      <c r="H8" s="2">
        <v>10000</v>
      </c>
      <c r="I8" s="2">
        <v>20000</v>
      </c>
    </row>
    <row r="9" spans="1:9" x14ac:dyDescent="0.35">
      <c r="A9" s="2">
        <v>1008</v>
      </c>
      <c r="B9" s="3">
        <v>45319</v>
      </c>
      <c r="C9" s="2" t="s">
        <v>20</v>
      </c>
      <c r="D9" s="2" t="s">
        <v>21</v>
      </c>
      <c r="E9" s="2" t="s">
        <v>15</v>
      </c>
      <c r="F9" s="2" t="s">
        <v>12</v>
      </c>
      <c r="G9" s="2">
        <v>6</v>
      </c>
      <c r="H9" s="2">
        <v>20000</v>
      </c>
      <c r="I9" s="2">
        <v>120000</v>
      </c>
    </row>
    <row r="10" spans="1:9" x14ac:dyDescent="0.35">
      <c r="A10" s="2">
        <v>1009</v>
      </c>
      <c r="B10" s="3">
        <v>45324</v>
      </c>
      <c r="C10" s="2" t="s">
        <v>9</v>
      </c>
      <c r="D10" s="2" t="s">
        <v>10</v>
      </c>
      <c r="E10" s="2" t="s">
        <v>22</v>
      </c>
      <c r="F10" s="2" t="s">
        <v>19</v>
      </c>
      <c r="G10" s="2">
        <v>5</v>
      </c>
      <c r="H10" s="2">
        <v>7000</v>
      </c>
      <c r="I10" s="2">
        <v>35000</v>
      </c>
    </row>
    <row r="11" spans="1:9" x14ac:dyDescent="0.35">
      <c r="A11" s="2">
        <v>1010</v>
      </c>
      <c r="B11" s="3">
        <v>45327</v>
      </c>
      <c r="C11" s="2" t="s">
        <v>13</v>
      </c>
      <c r="D11" s="2" t="s">
        <v>14</v>
      </c>
      <c r="E11" s="2" t="s">
        <v>18</v>
      </c>
      <c r="F11" s="2" t="s">
        <v>19</v>
      </c>
      <c r="G11" s="2">
        <v>7</v>
      </c>
      <c r="H11" s="2">
        <v>3000</v>
      </c>
      <c r="I11" s="2">
        <v>21000</v>
      </c>
    </row>
    <row r="13" spans="1:9" x14ac:dyDescent="0.35">
      <c r="G13" s="6" t="s">
        <v>42</v>
      </c>
      <c r="H13" s="6"/>
      <c r="I13">
        <f>SUM(I2:I11)</f>
        <v>577000</v>
      </c>
    </row>
    <row r="18" spans="11:12" x14ac:dyDescent="0.35">
      <c r="K18" s="4"/>
      <c r="L18" s="4" t="s">
        <v>40</v>
      </c>
    </row>
    <row r="19" spans="11:12" x14ac:dyDescent="0.35">
      <c r="K19" s="4"/>
      <c r="L19" s="4" t="s">
        <v>41</v>
      </c>
    </row>
    <row r="20" spans="11:12" x14ac:dyDescent="0.35">
      <c r="K20" s="4"/>
    </row>
    <row r="21" spans="11:12" x14ac:dyDescent="0.35">
      <c r="K21" s="4"/>
    </row>
  </sheetData>
  <mergeCells count="1">
    <mergeCell ref="G13:H13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841BC-8128-4C3B-91CB-4BB4737B1622}">
  <dimension ref="A1:L21"/>
  <sheetViews>
    <sheetView workbookViewId="0">
      <selection activeCell="G14" sqref="G14"/>
    </sheetView>
  </sheetViews>
  <sheetFormatPr defaultRowHeight="14.5" x14ac:dyDescent="0.35"/>
  <cols>
    <col min="1" max="1" width="8.54296875" bestFit="1" customWidth="1"/>
    <col min="2" max="2" width="10.36328125" bestFit="1" customWidth="1"/>
    <col min="3" max="3" width="6.81640625" bestFit="1" customWidth="1"/>
    <col min="4" max="4" width="10.36328125" customWidth="1"/>
    <col min="5" max="5" width="7.6328125" bestFit="1" customWidth="1"/>
    <col min="6" max="6" width="11.90625" customWidth="1"/>
    <col min="7" max="7" width="8.36328125" bestFit="1" customWidth="1"/>
    <col min="8" max="8" width="9.6328125" bestFit="1" customWidth="1"/>
    <col min="9" max="9" width="10.453125" bestFit="1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s="2">
        <v>1001</v>
      </c>
      <c r="B2" s="3">
        <v>45296</v>
      </c>
      <c r="C2" s="2" t="s">
        <v>9</v>
      </c>
      <c r="D2" s="2" t="s">
        <v>10</v>
      </c>
      <c r="E2" s="2" t="s">
        <v>11</v>
      </c>
      <c r="F2" s="2" t="s">
        <v>12</v>
      </c>
      <c r="G2" s="2">
        <v>2</v>
      </c>
      <c r="H2" s="2">
        <v>50000</v>
      </c>
      <c r="I2" s="2">
        <v>100000</v>
      </c>
    </row>
    <row r="3" spans="1:9" x14ac:dyDescent="0.35">
      <c r="A3" s="2">
        <v>1002</v>
      </c>
      <c r="B3" s="3">
        <v>45299</v>
      </c>
      <c r="C3" s="2" t="s">
        <v>13</v>
      </c>
      <c r="D3" s="2" t="s">
        <v>14</v>
      </c>
      <c r="E3" s="2" t="s">
        <v>15</v>
      </c>
      <c r="F3" s="2" t="s">
        <v>12</v>
      </c>
      <c r="G3" s="2">
        <v>5</v>
      </c>
      <c r="H3" s="2">
        <v>20000</v>
      </c>
      <c r="I3" s="2">
        <v>100000</v>
      </c>
    </row>
    <row r="4" spans="1:9" x14ac:dyDescent="0.35">
      <c r="A4" s="2">
        <v>1003</v>
      </c>
      <c r="B4" s="3">
        <v>45303</v>
      </c>
      <c r="C4" s="2" t="s">
        <v>16</v>
      </c>
      <c r="D4" s="2" t="s">
        <v>17</v>
      </c>
      <c r="E4" s="2" t="s">
        <v>18</v>
      </c>
      <c r="F4" s="2" t="s">
        <v>19</v>
      </c>
      <c r="G4" s="2">
        <v>10</v>
      </c>
      <c r="H4" s="2">
        <v>3000</v>
      </c>
      <c r="I4" s="2">
        <v>30000</v>
      </c>
    </row>
    <row r="5" spans="1:9" x14ac:dyDescent="0.35">
      <c r="A5" s="2">
        <v>1004</v>
      </c>
      <c r="B5" s="3">
        <v>45306</v>
      </c>
      <c r="C5" s="2" t="s">
        <v>20</v>
      </c>
      <c r="D5" s="2" t="s">
        <v>21</v>
      </c>
      <c r="E5" s="2" t="s">
        <v>22</v>
      </c>
      <c r="F5" s="2" t="s">
        <v>19</v>
      </c>
      <c r="G5" s="2">
        <v>3</v>
      </c>
      <c r="H5" s="2">
        <v>7000</v>
      </c>
      <c r="I5" s="2">
        <v>21000</v>
      </c>
    </row>
    <row r="6" spans="1:9" x14ac:dyDescent="0.35">
      <c r="A6" s="2">
        <v>1005</v>
      </c>
      <c r="B6" s="3">
        <v>45309</v>
      </c>
      <c r="C6" s="2" t="s">
        <v>9</v>
      </c>
      <c r="D6" s="2" t="s">
        <v>10</v>
      </c>
      <c r="E6" s="2" t="s">
        <v>15</v>
      </c>
      <c r="F6" s="2" t="s">
        <v>12</v>
      </c>
      <c r="G6" s="2">
        <v>4</v>
      </c>
      <c r="H6" s="2">
        <v>20000</v>
      </c>
      <c r="I6" s="2">
        <v>80000</v>
      </c>
    </row>
    <row r="7" spans="1:9" x14ac:dyDescent="0.35">
      <c r="A7" s="2">
        <v>1006</v>
      </c>
      <c r="B7" s="3">
        <v>45311</v>
      </c>
      <c r="C7" s="2" t="s">
        <v>13</v>
      </c>
      <c r="D7" s="2" t="s">
        <v>14</v>
      </c>
      <c r="E7" s="2" t="s">
        <v>11</v>
      </c>
      <c r="F7" s="2" t="s">
        <v>12</v>
      </c>
      <c r="G7" s="2">
        <v>1</v>
      </c>
      <c r="H7" s="2">
        <v>50000</v>
      </c>
      <c r="I7" s="2">
        <v>50000</v>
      </c>
    </row>
    <row r="8" spans="1:9" x14ac:dyDescent="0.35">
      <c r="A8" s="2">
        <v>1007</v>
      </c>
      <c r="B8" s="3">
        <v>45316</v>
      </c>
      <c r="C8" s="2" t="s">
        <v>16</v>
      </c>
      <c r="D8" s="2" t="s">
        <v>17</v>
      </c>
      <c r="E8" s="2" t="s">
        <v>23</v>
      </c>
      <c r="F8" s="2" t="s">
        <v>19</v>
      </c>
      <c r="G8" s="2">
        <v>2</v>
      </c>
      <c r="H8" s="2">
        <v>10000</v>
      </c>
      <c r="I8" s="2">
        <v>20000</v>
      </c>
    </row>
    <row r="9" spans="1:9" x14ac:dyDescent="0.35">
      <c r="A9" s="2">
        <v>1008</v>
      </c>
      <c r="B9" s="3">
        <v>45319</v>
      </c>
      <c r="C9" s="2" t="s">
        <v>20</v>
      </c>
      <c r="D9" s="2" t="s">
        <v>21</v>
      </c>
      <c r="E9" s="2" t="s">
        <v>15</v>
      </c>
      <c r="F9" s="2" t="s">
        <v>12</v>
      </c>
      <c r="G9" s="2">
        <v>6</v>
      </c>
      <c r="H9" s="2">
        <v>20000</v>
      </c>
      <c r="I9" s="2">
        <v>120000</v>
      </c>
    </row>
    <row r="10" spans="1:9" x14ac:dyDescent="0.35">
      <c r="A10" s="2">
        <v>1009</v>
      </c>
      <c r="B10" s="3">
        <v>45324</v>
      </c>
      <c r="C10" s="2" t="s">
        <v>9</v>
      </c>
      <c r="D10" s="2" t="s">
        <v>10</v>
      </c>
      <c r="E10" s="2" t="s">
        <v>22</v>
      </c>
      <c r="F10" s="2" t="s">
        <v>19</v>
      </c>
      <c r="G10" s="2">
        <v>5</v>
      </c>
      <c r="H10" s="2">
        <v>7000</v>
      </c>
      <c r="I10" s="2">
        <v>35000</v>
      </c>
    </row>
    <row r="11" spans="1:9" x14ac:dyDescent="0.35">
      <c r="A11" s="2">
        <v>1010</v>
      </c>
      <c r="B11" s="3">
        <v>45327</v>
      </c>
      <c r="C11" s="2" t="s">
        <v>13</v>
      </c>
      <c r="D11" s="2" t="s">
        <v>14</v>
      </c>
      <c r="E11" s="2" t="s">
        <v>18</v>
      </c>
      <c r="F11" s="2" t="s">
        <v>19</v>
      </c>
      <c r="G11" s="2">
        <v>7</v>
      </c>
      <c r="H11" s="2">
        <v>3000</v>
      </c>
      <c r="I11" s="2">
        <v>21000</v>
      </c>
    </row>
    <row r="13" spans="1:9" x14ac:dyDescent="0.35">
      <c r="E13" s="6" t="s">
        <v>43</v>
      </c>
      <c r="F13" s="6"/>
      <c r="G13">
        <f>SUM(G2:G11)</f>
        <v>45</v>
      </c>
    </row>
    <row r="18" spans="11:12" x14ac:dyDescent="0.35">
      <c r="K18" s="4"/>
      <c r="L18" s="4" t="s">
        <v>40</v>
      </c>
    </row>
    <row r="19" spans="11:12" x14ac:dyDescent="0.35">
      <c r="K19" s="4"/>
      <c r="L19" s="4" t="s">
        <v>41</v>
      </c>
    </row>
    <row r="20" spans="11:12" x14ac:dyDescent="0.35">
      <c r="K20" s="4"/>
    </row>
    <row r="21" spans="11:12" x14ac:dyDescent="0.35">
      <c r="K21" s="4"/>
    </row>
  </sheetData>
  <mergeCells count="1">
    <mergeCell ref="E13:F13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E2E3C1-D568-4733-BD21-FE3E4C69D6D3}">
  <dimension ref="A1:L21"/>
  <sheetViews>
    <sheetView workbookViewId="0">
      <selection activeCell="I12" sqref="I12"/>
    </sheetView>
  </sheetViews>
  <sheetFormatPr defaultRowHeight="14.5" x14ac:dyDescent="0.35"/>
  <cols>
    <col min="1" max="1" width="8.54296875" bestFit="1" customWidth="1"/>
    <col min="2" max="2" width="10.36328125" bestFit="1" customWidth="1"/>
    <col min="3" max="3" width="6.81640625" bestFit="1" customWidth="1"/>
    <col min="4" max="4" width="11" bestFit="1" customWidth="1"/>
    <col min="5" max="5" width="7.6328125" bestFit="1" customWidth="1"/>
    <col min="6" max="6" width="9.90625" bestFit="1" customWidth="1"/>
    <col min="7" max="7" width="8.36328125" bestFit="1" customWidth="1"/>
    <col min="8" max="8" width="9.6328125" bestFit="1" customWidth="1"/>
    <col min="9" max="9" width="10.453125" bestFit="1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s="2">
        <v>1001</v>
      </c>
      <c r="B2" s="3">
        <v>45296</v>
      </c>
      <c r="C2" s="2" t="s">
        <v>9</v>
      </c>
      <c r="D2" s="2" t="s">
        <v>10</v>
      </c>
      <c r="E2" s="2" t="s">
        <v>11</v>
      </c>
      <c r="F2" s="2" t="s">
        <v>12</v>
      </c>
      <c r="G2" s="2">
        <v>2</v>
      </c>
      <c r="H2" s="2">
        <v>50000</v>
      </c>
      <c r="I2" s="2">
        <v>100000</v>
      </c>
    </row>
    <row r="3" spans="1:9" x14ac:dyDescent="0.35">
      <c r="A3" s="2">
        <v>1002</v>
      </c>
      <c r="B3" s="3">
        <v>45299</v>
      </c>
      <c r="C3" s="2" t="s">
        <v>13</v>
      </c>
      <c r="D3" s="2" t="s">
        <v>14</v>
      </c>
      <c r="E3" s="2" t="s">
        <v>15</v>
      </c>
      <c r="F3" s="2" t="s">
        <v>12</v>
      </c>
      <c r="G3" s="2">
        <v>5</v>
      </c>
      <c r="H3" s="2">
        <v>20000</v>
      </c>
      <c r="I3" s="2">
        <v>100000</v>
      </c>
    </row>
    <row r="4" spans="1:9" x14ac:dyDescent="0.35">
      <c r="A4" s="2">
        <v>1003</v>
      </c>
      <c r="B4" s="3">
        <v>45303</v>
      </c>
      <c r="C4" s="2" t="s">
        <v>16</v>
      </c>
      <c r="D4" s="2" t="s">
        <v>17</v>
      </c>
      <c r="E4" s="2" t="s">
        <v>18</v>
      </c>
      <c r="F4" s="2" t="s">
        <v>19</v>
      </c>
      <c r="G4" s="2">
        <v>10</v>
      </c>
      <c r="H4" s="2">
        <v>3000</v>
      </c>
      <c r="I4" s="2">
        <v>30000</v>
      </c>
    </row>
    <row r="5" spans="1:9" x14ac:dyDescent="0.35">
      <c r="A5" s="2">
        <v>1004</v>
      </c>
      <c r="B5" s="3">
        <v>45306</v>
      </c>
      <c r="C5" s="2" t="s">
        <v>20</v>
      </c>
      <c r="D5" s="2" t="s">
        <v>21</v>
      </c>
      <c r="E5" s="2" t="s">
        <v>22</v>
      </c>
      <c r="F5" s="2" t="s">
        <v>19</v>
      </c>
      <c r="G5" s="2">
        <v>3</v>
      </c>
      <c r="H5" s="2">
        <v>7000</v>
      </c>
      <c r="I5" s="2">
        <v>21000</v>
      </c>
    </row>
    <row r="6" spans="1:9" x14ac:dyDescent="0.35">
      <c r="A6" s="2">
        <v>1005</v>
      </c>
      <c r="B6" s="3">
        <v>45309</v>
      </c>
      <c r="C6" s="2" t="s">
        <v>9</v>
      </c>
      <c r="D6" s="2" t="s">
        <v>10</v>
      </c>
      <c r="E6" s="2" t="s">
        <v>15</v>
      </c>
      <c r="F6" s="2" t="s">
        <v>12</v>
      </c>
      <c r="G6" s="2">
        <v>4</v>
      </c>
      <c r="H6" s="2">
        <v>20000</v>
      </c>
      <c r="I6" s="2">
        <v>80000</v>
      </c>
    </row>
    <row r="7" spans="1:9" x14ac:dyDescent="0.35">
      <c r="A7" s="2">
        <v>1006</v>
      </c>
      <c r="B7" s="3">
        <v>45311</v>
      </c>
      <c r="C7" s="2" t="s">
        <v>13</v>
      </c>
      <c r="D7" s="2" t="s">
        <v>14</v>
      </c>
      <c r="E7" s="2" t="s">
        <v>11</v>
      </c>
      <c r="F7" s="2" t="s">
        <v>12</v>
      </c>
      <c r="G7" s="2">
        <v>1</v>
      </c>
      <c r="H7" s="2">
        <v>50000</v>
      </c>
      <c r="I7" s="2">
        <v>50000</v>
      </c>
    </row>
    <row r="8" spans="1:9" x14ac:dyDescent="0.35">
      <c r="A8" s="2">
        <v>1007</v>
      </c>
      <c r="B8" s="3">
        <v>45316</v>
      </c>
      <c r="C8" s="2" t="s">
        <v>16</v>
      </c>
      <c r="D8" s="2" t="s">
        <v>17</v>
      </c>
      <c r="E8" s="2" t="s">
        <v>23</v>
      </c>
      <c r="F8" s="2" t="s">
        <v>19</v>
      </c>
      <c r="G8" s="2">
        <v>2</v>
      </c>
      <c r="H8" s="2">
        <v>10000</v>
      </c>
      <c r="I8" s="2">
        <v>20000</v>
      </c>
    </row>
    <row r="9" spans="1:9" x14ac:dyDescent="0.35">
      <c r="A9" s="2">
        <v>1008</v>
      </c>
      <c r="B9" s="3">
        <v>45319</v>
      </c>
      <c r="C9" s="2" t="s">
        <v>20</v>
      </c>
      <c r="D9" s="2" t="s">
        <v>21</v>
      </c>
      <c r="E9" s="2" t="s">
        <v>15</v>
      </c>
      <c r="F9" s="2" t="s">
        <v>12</v>
      </c>
      <c r="G9" s="2">
        <v>6</v>
      </c>
      <c r="H9" s="2">
        <v>20000</v>
      </c>
      <c r="I9" s="2">
        <v>120000</v>
      </c>
    </row>
    <row r="10" spans="1:9" x14ac:dyDescent="0.35">
      <c r="A10" s="2">
        <v>1009</v>
      </c>
      <c r="B10" s="3">
        <v>45324</v>
      </c>
      <c r="C10" s="2" t="s">
        <v>9</v>
      </c>
      <c r="D10" s="2" t="s">
        <v>10</v>
      </c>
      <c r="E10" s="2" t="s">
        <v>22</v>
      </c>
      <c r="F10" s="2" t="s">
        <v>19</v>
      </c>
      <c r="G10" s="2">
        <v>5</v>
      </c>
      <c r="H10" s="2">
        <v>7000</v>
      </c>
      <c r="I10" s="2">
        <v>35000</v>
      </c>
    </row>
    <row r="11" spans="1:9" x14ac:dyDescent="0.35">
      <c r="A11" s="2">
        <v>1010</v>
      </c>
      <c r="B11" s="3">
        <v>45327</v>
      </c>
      <c r="C11" s="2" t="s">
        <v>13</v>
      </c>
      <c r="D11" s="2" t="s">
        <v>14</v>
      </c>
      <c r="E11" s="2" t="s">
        <v>18</v>
      </c>
      <c r="F11" s="2" t="s">
        <v>19</v>
      </c>
      <c r="G11" s="2">
        <v>7</v>
      </c>
      <c r="H11" s="2">
        <v>3000</v>
      </c>
      <c r="I11" s="2">
        <v>21000</v>
      </c>
    </row>
    <row r="13" spans="1:9" x14ac:dyDescent="0.35">
      <c r="G13" s="7" t="s">
        <v>44</v>
      </c>
      <c r="H13" s="7"/>
      <c r="I13">
        <f>SUM(I2:I11)/10</f>
        <v>57700</v>
      </c>
    </row>
    <row r="18" spans="11:12" x14ac:dyDescent="0.35">
      <c r="K18" s="4"/>
      <c r="L18" s="4" t="s">
        <v>40</v>
      </c>
    </row>
    <row r="19" spans="11:12" x14ac:dyDescent="0.35">
      <c r="K19" s="4"/>
      <c r="L19" s="4" t="s">
        <v>41</v>
      </c>
    </row>
    <row r="20" spans="11:12" x14ac:dyDescent="0.35">
      <c r="K20" s="4"/>
    </row>
    <row r="21" spans="11:12" x14ac:dyDescent="0.35">
      <c r="K21" s="4"/>
    </row>
  </sheetData>
  <mergeCells count="1">
    <mergeCell ref="G13:H13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965429-E62F-437D-9744-F8F260693DC4}">
  <dimension ref="A1:L21"/>
  <sheetViews>
    <sheetView workbookViewId="0">
      <selection activeCell="H16" sqref="H16"/>
    </sheetView>
  </sheetViews>
  <sheetFormatPr defaultRowHeight="14.5" x14ac:dyDescent="0.35"/>
  <cols>
    <col min="1" max="1" width="8.54296875" bestFit="1" customWidth="1"/>
    <col min="2" max="2" width="10.36328125" bestFit="1" customWidth="1"/>
    <col min="3" max="3" width="6.81640625" bestFit="1" customWidth="1"/>
    <col min="4" max="4" width="11" bestFit="1" customWidth="1"/>
    <col min="5" max="5" width="7.6328125" bestFit="1" customWidth="1"/>
    <col min="6" max="6" width="9.90625" bestFit="1" customWidth="1"/>
    <col min="7" max="7" width="8.36328125" bestFit="1" customWidth="1"/>
    <col min="8" max="8" width="9.6328125" bestFit="1" customWidth="1"/>
    <col min="9" max="9" width="10.453125" bestFit="1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s="2">
        <v>1001</v>
      </c>
      <c r="B2" s="3">
        <v>45296</v>
      </c>
      <c r="C2" s="2" t="s">
        <v>9</v>
      </c>
      <c r="D2" s="2" t="s">
        <v>10</v>
      </c>
      <c r="E2" s="2" t="s">
        <v>11</v>
      </c>
      <c r="F2" s="2" t="s">
        <v>12</v>
      </c>
      <c r="G2" s="2">
        <v>2</v>
      </c>
      <c r="H2" s="2">
        <v>50000</v>
      </c>
      <c r="I2" s="2">
        <v>100000</v>
      </c>
    </row>
    <row r="3" spans="1:9" x14ac:dyDescent="0.35">
      <c r="A3" s="2">
        <v>1002</v>
      </c>
      <c r="B3" s="3">
        <v>45299</v>
      </c>
      <c r="C3" s="2" t="s">
        <v>13</v>
      </c>
      <c r="D3" s="2" t="s">
        <v>14</v>
      </c>
      <c r="E3" s="2" t="s">
        <v>15</v>
      </c>
      <c r="F3" s="2" t="s">
        <v>12</v>
      </c>
      <c r="G3" s="2">
        <v>5</v>
      </c>
      <c r="H3" s="2">
        <v>20000</v>
      </c>
      <c r="I3" s="2">
        <v>100000</v>
      </c>
    </row>
    <row r="4" spans="1:9" x14ac:dyDescent="0.35">
      <c r="A4" s="2">
        <v>1003</v>
      </c>
      <c r="B4" s="3">
        <v>45303</v>
      </c>
      <c r="C4" s="2" t="s">
        <v>16</v>
      </c>
      <c r="D4" s="2" t="s">
        <v>17</v>
      </c>
      <c r="E4" s="2" t="s">
        <v>18</v>
      </c>
      <c r="F4" s="2" t="s">
        <v>19</v>
      </c>
      <c r="G4" s="2">
        <v>10</v>
      </c>
      <c r="H4" s="2">
        <v>3000</v>
      </c>
      <c r="I4" s="2">
        <v>30000</v>
      </c>
    </row>
    <row r="5" spans="1:9" x14ac:dyDescent="0.35">
      <c r="A5" s="2">
        <v>1004</v>
      </c>
      <c r="B5" s="3">
        <v>45306</v>
      </c>
      <c r="C5" s="2" t="s">
        <v>20</v>
      </c>
      <c r="D5" s="2" t="s">
        <v>21</v>
      </c>
      <c r="E5" s="2" t="s">
        <v>22</v>
      </c>
      <c r="F5" s="2" t="s">
        <v>19</v>
      </c>
      <c r="G5" s="2">
        <v>3</v>
      </c>
      <c r="H5" s="2">
        <v>7000</v>
      </c>
      <c r="I5" s="2">
        <v>21000</v>
      </c>
    </row>
    <row r="6" spans="1:9" x14ac:dyDescent="0.35">
      <c r="A6" s="2">
        <v>1005</v>
      </c>
      <c r="B6" s="3">
        <v>45309</v>
      </c>
      <c r="C6" s="2" t="s">
        <v>9</v>
      </c>
      <c r="D6" s="2" t="s">
        <v>10</v>
      </c>
      <c r="E6" s="2" t="s">
        <v>15</v>
      </c>
      <c r="F6" s="2" t="s">
        <v>12</v>
      </c>
      <c r="G6" s="2">
        <v>4</v>
      </c>
      <c r="H6" s="2">
        <v>20000</v>
      </c>
      <c r="I6" s="2">
        <v>80000</v>
      </c>
    </row>
    <row r="7" spans="1:9" x14ac:dyDescent="0.35">
      <c r="A7" s="2">
        <v>1006</v>
      </c>
      <c r="B7" s="3">
        <v>45311</v>
      </c>
      <c r="C7" s="2" t="s">
        <v>13</v>
      </c>
      <c r="D7" s="2" t="s">
        <v>14</v>
      </c>
      <c r="E7" s="2" t="s">
        <v>11</v>
      </c>
      <c r="F7" s="2" t="s">
        <v>12</v>
      </c>
      <c r="G7" s="2">
        <v>1</v>
      </c>
      <c r="H7" s="2">
        <v>50000</v>
      </c>
      <c r="I7" s="2">
        <v>50000</v>
      </c>
    </row>
    <row r="8" spans="1:9" x14ac:dyDescent="0.35">
      <c r="A8" s="2">
        <v>1007</v>
      </c>
      <c r="B8" s="3">
        <v>45316</v>
      </c>
      <c r="C8" s="2" t="s">
        <v>16</v>
      </c>
      <c r="D8" s="2" t="s">
        <v>17</v>
      </c>
      <c r="E8" s="2" t="s">
        <v>23</v>
      </c>
      <c r="F8" s="2" t="s">
        <v>19</v>
      </c>
      <c r="G8" s="2">
        <v>2</v>
      </c>
      <c r="H8" s="2">
        <v>10000</v>
      </c>
      <c r="I8" s="2">
        <v>20000</v>
      </c>
    </row>
    <row r="9" spans="1:9" x14ac:dyDescent="0.35">
      <c r="A9" s="2">
        <v>1008</v>
      </c>
      <c r="B9" s="3">
        <v>45319</v>
      </c>
      <c r="C9" s="2" t="s">
        <v>20</v>
      </c>
      <c r="D9" s="2" t="s">
        <v>21</v>
      </c>
      <c r="E9" s="2" t="s">
        <v>15</v>
      </c>
      <c r="F9" s="2" t="s">
        <v>12</v>
      </c>
      <c r="G9" s="2">
        <v>6</v>
      </c>
      <c r="H9" s="2">
        <v>20000</v>
      </c>
      <c r="I9" s="2">
        <v>120000</v>
      </c>
    </row>
    <row r="10" spans="1:9" x14ac:dyDescent="0.35">
      <c r="A10" s="2">
        <v>1009</v>
      </c>
      <c r="B10" s="3">
        <v>45324</v>
      </c>
      <c r="C10" s="2" t="s">
        <v>9</v>
      </c>
      <c r="D10" s="2" t="s">
        <v>10</v>
      </c>
      <c r="E10" s="2" t="s">
        <v>22</v>
      </c>
      <c r="F10" s="2" t="s">
        <v>19</v>
      </c>
      <c r="G10" s="2">
        <v>5</v>
      </c>
      <c r="H10" s="2">
        <v>7000</v>
      </c>
      <c r="I10" s="2">
        <v>35000</v>
      </c>
    </row>
    <row r="11" spans="1:9" x14ac:dyDescent="0.35">
      <c r="A11" s="2">
        <v>1010</v>
      </c>
      <c r="B11" s="3">
        <v>45327</v>
      </c>
      <c r="C11" s="2" t="s">
        <v>13</v>
      </c>
      <c r="D11" s="2" t="s">
        <v>14</v>
      </c>
      <c r="E11" s="2" t="s">
        <v>18</v>
      </c>
      <c r="F11" s="2" t="s">
        <v>19</v>
      </c>
      <c r="G11" s="2">
        <v>7</v>
      </c>
      <c r="H11" s="2">
        <v>3000</v>
      </c>
      <c r="I11" s="2">
        <v>21000</v>
      </c>
    </row>
    <row r="13" spans="1:9" x14ac:dyDescent="0.35">
      <c r="E13" s="6" t="s">
        <v>45</v>
      </c>
      <c r="F13" s="6"/>
      <c r="G13">
        <f>AVERAGE(G2:G11)</f>
        <v>4.5</v>
      </c>
    </row>
    <row r="18" spans="11:12" x14ac:dyDescent="0.35">
      <c r="K18" s="4"/>
      <c r="L18" s="4" t="s">
        <v>40</v>
      </c>
    </row>
    <row r="19" spans="11:12" x14ac:dyDescent="0.35">
      <c r="K19" s="4"/>
      <c r="L19" s="4" t="s">
        <v>41</v>
      </c>
    </row>
    <row r="20" spans="11:12" x14ac:dyDescent="0.35">
      <c r="K20" s="4"/>
    </row>
    <row r="21" spans="11:12" x14ac:dyDescent="0.35">
      <c r="K21" s="4"/>
    </row>
  </sheetData>
  <mergeCells count="1">
    <mergeCell ref="E13:F13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8756E4-87A5-416D-AFAB-E6308F01BA36}">
  <dimension ref="A1:L21"/>
  <sheetViews>
    <sheetView workbookViewId="0">
      <selection activeCell="H13" sqref="H13"/>
    </sheetView>
  </sheetViews>
  <sheetFormatPr defaultRowHeight="14.5" x14ac:dyDescent="0.35"/>
  <cols>
    <col min="1" max="1" width="8.54296875" bestFit="1" customWidth="1"/>
    <col min="2" max="2" width="10.36328125" bestFit="1" customWidth="1"/>
    <col min="3" max="3" width="6.81640625" bestFit="1" customWidth="1"/>
    <col min="4" max="4" width="11" bestFit="1" customWidth="1"/>
    <col min="5" max="5" width="7.6328125" bestFit="1" customWidth="1"/>
    <col min="6" max="6" width="9.90625" bestFit="1" customWidth="1"/>
    <col min="7" max="7" width="8.36328125" bestFit="1" customWidth="1"/>
    <col min="8" max="8" width="9.6328125" bestFit="1" customWidth="1"/>
    <col min="9" max="9" width="10.453125" bestFit="1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s="2">
        <v>1001</v>
      </c>
      <c r="B2" s="3">
        <v>45296</v>
      </c>
      <c r="C2" s="2" t="s">
        <v>9</v>
      </c>
      <c r="D2" s="2" t="s">
        <v>10</v>
      </c>
      <c r="E2" s="2" t="s">
        <v>11</v>
      </c>
      <c r="F2" s="2" t="s">
        <v>12</v>
      </c>
      <c r="G2" s="2">
        <v>2</v>
      </c>
      <c r="H2" s="2">
        <v>50000</v>
      </c>
      <c r="I2" s="2">
        <v>100000</v>
      </c>
    </row>
    <row r="3" spans="1:9" x14ac:dyDescent="0.35">
      <c r="A3" s="2">
        <v>1002</v>
      </c>
      <c r="B3" s="3">
        <v>45299</v>
      </c>
      <c r="C3" s="2" t="s">
        <v>13</v>
      </c>
      <c r="D3" s="2" t="s">
        <v>14</v>
      </c>
      <c r="E3" s="2" t="s">
        <v>15</v>
      </c>
      <c r="F3" s="2" t="s">
        <v>12</v>
      </c>
      <c r="G3" s="2">
        <v>5</v>
      </c>
      <c r="H3" s="2">
        <v>20000</v>
      </c>
      <c r="I3" s="2">
        <v>100000</v>
      </c>
    </row>
    <row r="4" spans="1:9" x14ac:dyDescent="0.35">
      <c r="A4" s="2">
        <v>1003</v>
      </c>
      <c r="B4" s="3">
        <v>45303</v>
      </c>
      <c r="C4" s="2" t="s">
        <v>16</v>
      </c>
      <c r="D4" s="2" t="s">
        <v>17</v>
      </c>
      <c r="E4" s="2" t="s">
        <v>18</v>
      </c>
      <c r="F4" s="2" t="s">
        <v>19</v>
      </c>
      <c r="G4" s="2">
        <v>10</v>
      </c>
      <c r="H4" s="2">
        <v>3000</v>
      </c>
      <c r="I4" s="2">
        <v>30000</v>
      </c>
    </row>
    <row r="5" spans="1:9" x14ac:dyDescent="0.35">
      <c r="A5" s="2">
        <v>1004</v>
      </c>
      <c r="B5" s="3">
        <v>45306</v>
      </c>
      <c r="C5" s="2" t="s">
        <v>20</v>
      </c>
      <c r="D5" s="2" t="s">
        <v>21</v>
      </c>
      <c r="E5" s="2" t="s">
        <v>22</v>
      </c>
      <c r="F5" s="2" t="s">
        <v>19</v>
      </c>
      <c r="G5" s="2">
        <v>3</v>
      </c>
      <c r="H5" s="2">
        <v>7000</v>
      </c>
      <c r="I5" s="2">
        <v>21000</v>
      </c>
    </row>
    <row r="6" spans="1:9" x14ac:dyDescent="0.35">
      <c r="A6" s="2">
        <v>1005</v>
      </c>
      <c r="B6" s="3">
        <v>45309</v>
      </c>
      <c r="C6" s="2" t="s">
        <v>9</v>
      </c>
      <c r="D6" s="2" t="s">
        <v>10</v>
      </c>
      <c r="E6" s="2" t="s">
        <v>15</v>
      </c>
      <c r="F6" s="2" t="s">
        <v>12</v>
      </c>
      <c r="G6" s="2">
        <v>4</v>
      </c>
      <c r="H6" s="2">
        <v>20000</v>
      </c>
      <c r="I6" s="2">
        <v>80000</v>
      </c>
    </row>
    <row r="7" spans="1:9" x14ac:dyDescent="0.35">
      <c r="A7" s="2">
        <v>1006</v>
      </c>
      <c r="B7" s="3">
        <v>45311</v>
      </c>
      <c r="C7" s="2" t="s">
        <v>13</v>
      </c>
      <c r="D7" s="2" t="s">
        <v>14</v>
      </c>
      <c r="E7" s="2" t="s">
        <v>11</v>
      </c>
      <c r="F7" s="2" t="s">
        <v>12</v>
      </c>
      <c r="G7" s="2">
        <v>1</v>
      </c>
      <c r="H7" s="2">
        <v>50000</v>
      </c>
      <c r="I7" s="2">
        <v>50000</v>
      </c>
    </row>
    <row r="8" spans="1:9" x14ac:dyDescent="0.35">
      <c r="A8" s="2">
        <v>1007</v>
      </c>
      <c r="B8" s="3">
        <v>45316</v>
      </c>
      <c r="C8" s="2" t="s">
        <v>16</v>
      </c>
      <c r="D8" s="2" t="s">
        <v>17</v>
      </c>
      <c r="E8" s="2" t="s">
        <v>23</v>
      </c>
      <c r="F8" s="2" t="s">
        <v>19</v>
      </c>
      <c r="G8" s="2">
        <v>2</v>
      </c>
      <c r="H8" s="2">
        <v>10000</v>
      </c>
      <c r="I8" s="2">
        <v>20000</v>
      </c>
    </row>
    <row r="9" spans="1:9" x14ac:dyDescent="0.35">
      <c r="A9" s="2">
        <v>1008</v>
      </c>
      <c r="B9" s="3">
        <v>45319</v>
      </c>
      <c r="C9" s="2" t="s">
        <v>20</v>
      </c>
      <c r="D9" s="2" t="s">
        <v>21</v>
      </c>
      <c r="E9" s="2" t="s">
        <v>15</v>
      </c>
      <c r="F9" s="2" t="s">
        <v>12</v>
      </c>
      <c r="G9" s="2">
        <v>6</v>
      </c>
      <c r="H9" s="2">
        <v>20000</v>
      </c>
      <c r="I9" s="2">
        <v>120000</v>
      </c>
    </row>
    <row r="10" spans="1:9" x14ac:dyDescent="0.35">
      <c r="A10" s="2">
        <v>1009</v>
      </c>
      <c r="B10" s="3">
        <v>45324</v>
      </c>
      <c r="C10" s="2" t="s">
        <v>9</v>
      </c>
      <c r="D10" s="2" t="s">
        <v>10</v>
      </c>
      <c r="E10" s="2" t="s">
        <v>22</v>
      </c>
      <c r="F10" s="2" t="s">
        <v>19</v>
      </c>
      <c r="G10" s="2">
        <v>5</v>
      </c>
      <c r="H10" s="2">
        <v>7000</v>
      </c>
      <c r="I10" s="2">
        <v>35000</v>
      </c>
    </row>
    <row r="11" spans="1:9" x14ac:dyDescent="0.35">
      <c r="A11" s="2">
        <v>1010</v>
      </c>
      <c r="B11" s="3">
        <v>45327</v>
      </c>
      <c r="C11" s="2" t="s">
        <v>13</v>
      </c>
      <c r="D11" s="2" t="s">
        <v>14</v>
      </c>
      <c r="E11" s="2" t="s">
        <v>18</v>
      </c>
      <c r="F11" s="2" t="s">
        <v>19</v>
      </c>
      <c r="G11" s="2">
        <v>7</v>
      </c>
      <c r="H11" s="2">
        <v>3000</v>
      </c>
      <c r="I11" s="2">
        <v>21000</v>
      </c>
    </row>
    <row r="13" spans="1:9" x14ac:dyDescent="0.35">
      <c r="D13" s="6" t="s">
        <v>46</v>
      </c>
      <c r="E13" s="6"/>
      <c r="F13" s="8">
        <f>COUNTA(F2:F11)</f>
        <v>10</v>
      </c>
    </row>
    <row r="18" spans="11:12" x14ac:dyDescent="0.35">
      <c r="K18" s="4"/>
      <c r="L18" s="4" t="s">
        <v>40</v>
      </c>
    </row>
    <row r="19" spans="11:12" x14ac:dyDescent="0.35">
      <c r="K19" s="4"/>
      <c r="L19" s="4" t="s">
        <v>41</v>
      </c>
    </row>
    <row r="20" spans="11:12" x14ac:dyDescent="0.35">
      <c r="K20" s="4"/>
    </row>
    <row r="21" spans="11:12" x14ac:dyDescent="0.35">
      <c r="K21" s="4"/>
    </row>
  </sheetData>
  <mergeCells count="1">
    <mergeCell ref="D13:E13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C4EC0-91DF-4F1F-8258-D548227CB962}">
  <dimension ref="A1:L21"/>
  <sheetViews>
    <sheetView workbookViewId="0">
      <selection activeCell="F13" sqref="F13"/>
    </sheetView>
  </sheetViews>
  <sheetFormatPr defaultRowHeight="14.5" x14ac:dyDescent="0.35"/>
  <cols>
    <col min="1" max="1" width="8.54296875" bestFit="1" customWidth="1"/>
    <col min="2" max="2" width="10.36328125" bestFit="1" customWidth="1"/>
    <col min="3" max="3" width="6.81640625" bestFit="1" customWidth="1"/>
    <col min="4" max="4" width="11" bestFit="1" customWidth="1"/>
    <col min="5" max="5" width="9.08984375" customWidth="1"/>
    <col min="6" max="6" width="9.90625" bestFit="1" customWidth="1"/>
    <col min="7" max="7" width="8.36328125" bestFit="1" customWidth="1"/>
    <col min="8" max="8" width="9.6328125" bestFit="1" customWidth="1"/>
    <col min="9" max="9" width="10.453125" bestFit="1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s="2">
        <v>1001</v>
      </c>
      <c r="B2" s="3">
        <v>45296</v>
      </c>
      <c r="C2" s="2" t="s">
        <v>9</v>
      </c>
      <c r="D2" s="2" t="s">
        <v>10</v>
      </c>
      <c r="E2" s="2" t="s">
        <v>11</v>
      </c>
      <c r="F2" s="2" t="s">
        <v>12</v>
      </c>
      <c r="G2" s="2">
        <v>2</v>
      </c>
      <c r="H2" s="2">
        <v>50000</v>
      </c>
      <c r="I2" s="2">
        <v>100000</v>
      </c>
    </row>
    <row r="3" spans="1:9" x14ac:dyDescent="0.35">
      <c r="A3" s="2">
        <v>1002</v>
      </c>
      <c r="B3" s="3">
        <v>45299</v>
      </c>
      <c r="C3" s="2" t="s">
        <v>13</v>
      </c>
      <c r="D3" s="2" t="s">
        <v>14</v>
      </c>
      <c r="E3" s="2" t="s">
        <v>15</v>
      </c>
      <c r="F3" s="2" t="s">
        <v>12</v>
      </c>
      <c r="G3" s="2">
        <v>5</v>
      </c>
      <c r="H3" s="2">
        <v>20000</v>
      </c>
      <c r="I3" s="2">
        <v>100000</v>
      </c>
    </row>
    <row r="4" spans="1:9" x14ac:dyDescent="0.35">
      <c r="A4" s="2">
        <v>1003</v>
      </c>
      <c r="B4" s="3">
        <v>45303</v>
      </c>
      <c r="C4" s="2" t="s">
        <v>16</v>
      </c>
      <c r="D4" s="2" t="s">
        <v>17</v>
      </c>
      <c r="E4" s="2" t="s">
        <v>18</v>
      </c>
      <c r="F4" s="2" t="s">
        <v>19</v>
      </c>
      <c r="G4" s="2">
        <v>10</v>
      </c>
      <c r="H4" s="2">
        <v>3000</v>
      </c>
      <c r="I4" s="2">
        <v>30000</v>
      </c>
    </row>
    <row r="5" spans="1:9" x14ac:dyDescent="0.35">
      <c r="A5" s="2">
        <v>1004</v>
      </c>
      <c r="B5" s="3">
        <v>45306</v>
      </c>
      <c r="C5" s="2" t="s">
        <v>20</v>
      </c>
      <c r="D5" s="2" t="s">
        <v>21</v>
      </c>
      <c r="E5" s="2" t="s">
        <v>22</v>
      </c>
      <c r="F5" s="2" t="s">
        <v>19</v>
      </c>
      <c r="G5" s="2">
        <v>3</v>
      </c>
      <c r="H5" s="2">
        <v>7000</v>
      </c>
      <c r="I5" s="2">
        <v>21000</v>
      </c>
    </row>
    <row r="6" spans="1:9" x14ac:dyDescent="0.35">
      <c r="A6" s="2">
        <v>1005</v>
      </c>
      <c r="B6" s="3">
        <v>45309</v>
      </c>
      <c r="C6" s="2" t="s">
        <v>9</v>
      </c>
      <c r="D6" s="2" t="s">
        <v>10</v>
      </c>
      <c r="E6" s="2" t="s">
        <v>15</v>
      </c>
      <c r="F6" s="2" t="s">
        <v>12</v>
      </c>
      <c r="G6" s="2">
        <v>4</v>
      </c>
      <c r="H6" s="2">
        <v>20000</v>
      </c>
      <c r="I6" s="2">
        <v>80000</v>
      </c>
    </row>
    <row r="7" spans="1:9" x14ac:dyDescent="0.35">
      <c r="A7" s="2">
        <v>1006</v>
      </c>
      <c r="B7" s="3">
        <v>45311</v>
      </c>
      <c r="C7" s="2" t="s">
        <v>13</v>
      </c>
      <c r="D7" s="2" t="s">
        <v>14</v>
      </c>
      <c r="E7" s="2" t="s">
        <v>11</v>
      </c>
      <c r="F7" s="2" t="s">
        <v>12</v>
      </c>
      <c r="G7" s="2">
        <v>1</v>
      </c>
      <c r="H7" s="2">
        <v>50000</v>
      </c>
      <c r="I7" s="2">
        <v>50000</v>
      </c>
    </row>
    <row r="8" spans="1:9" x14ac:dyDescent="0.35">
      <c r="A8" s="2">
        <v>1007</v>
      </c>
      <c r="B8" s="3">
        <v>45316</v>
      </c>
      <c r="C8" s="2" t="s">
        <v>16</v>
      </c>
      <c r="D8" s="2" t="s">
        <v>17</v>
      </c>
      <c r="E8" s="2" t="s">
        <v>23</v>
      </c>
      <c r="F8" s="2" t="s">
        <v>19</v>
      </c>
      <c r="G8" s="2">
        <v>2</v>
      </c>
      <c r="H8" s="2">
        <v>10000</v>
      </c>
      <c r="I8" s="2">
        <v>20000</v>
      </c>
    </row>
    <row r="9" spans="1:9" x14ac:dyDescent="0.35">
      <c r="A9" s="2">
        <v>1008</v>
      </c>
      <c r="B9" s="3">
        <v>45319</v>
      </c>
      <c r="C9" s="2" t="s">
        <v>20</v>
      </c>
      <c r="D9" s="2" t="s">
        <v>21</v>
      </c>
      <c r="E9" s="2" t="s">
        <v>15</v>
      </c>
      <c r="F9" s="2" t="s">
        <v>12</v>
      </c>
      <c r="G9" s="2">
        <v>6</v>
      </c>
      <c r="H9" s="2">
        <v>20000</v>
      </c>
      <c r="I9" s="2">
        <v>120000</v>
      </c>
    </row>
    <row r="10" spans="1:9" x14ac:dyDescent="0.35">
      <c r="A10" s="2">
        <v>1009</v>
      </c>
      <c r="B10" s="3">
        <v>45324</v>
      </c>
      <c r="C10" s="2" t="s">
        <v>9</v>
      </c>
      <c r="D10" s="2" t="s">
        <v>10</v>
      </c>
      <c r="E10" s="2" t="s">
        <v>22</v>
      </c>
      <c r="F10" s="2" t="s">
        <v>19</v>
      </c>
      <c r="G10" s="2">
        <v>5</v>
      </c>
      <c r="H10" s="2">
        <v>7000</v>
      </c>
      <c r="I10" s="2">
        <v>35000</v>
      </c>
    </row>
    <row r="11" spans="1:9" x14ac:dyDescent="0.35">
      <c r="A11" s="2">
        <v>1010</v>
      </c>
      <c r="B11" s="3">
        <v>45327</v>
      </c>
      <c r="C11" s="2" t="s">
        <v>13</v>
      </c>
      <c r="D11" s="2" t="s">
        <v>14</v>
      </c>
      <c r="E11" s="2" t="s">
        <v>18</v>
      </c>
      <c r="F11" s="2" t="s">
        <v>19</v>
      </c>
      <c r="G11" s="2">
        <v>7</v>
      </c>
      <c r="H11" s="2">
        <v>3000</v>
      </c>
      <c r="I11" s="2">
        <v>21000</v>
      </c>
    </row>
    <row r="13" spans="1:9" x14ac:dyDescent="0.35">
      <c r="D13" s="9" t="s">
        <v>47</v>
      </c>
      <c r="E13" s="9"/>
      <c r="F13">
        <f>COUNTIF(F2:F11, "Furniture")</f>
        <v>5</v>
      </c>
    </row>
    <row r="18" spans="11:12" x14ac:dyDescent="0.35">
      <c r="K18" s="4"/>
      <c r="L18" s="4" t="s">
        <v>40</v>
      </c>
    </row>
    <row r="19" spans="11:12" x14ac:dyDescent="0.35">
      <c r="K19" s="4"/>
      <c r="L19" s="4" t="s">
        <v>41</v>
      </c>
    </row>
    <row r="20" spans="11:12" x14ac:dyDescent="0.35">
      <c r="K20" s="4"/>
    </row>
    <row r="21" spans="11:12" x14ac:dyDescent="0.35">
      <c r="K21" s="4"/>
    </row>
  </sheetData>
  <mergeCells count="1">
    <mergeCell ref="D13:E13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8D0796-C708-468B-AE00-5D1F5D8215E9}">
  <dimension ref="A1:L21"/>
  <sheetViews>
    <sheetView workbookViewId="0">
      <selection activeCell="I13" sqref="I13"/>
    </sheetView>
  </sheetViews>
  <sheetFormatPr defaultRowHeight="14.5" x14ac:dyDescent="0.35"/>
  <cols>
    <col min="1" max="1" width="8.54296875" bestFit="1" customWidth="1"/>
    <col min="2" max="2" width="10.36328125" bestFit="1" customWidth="1"/>
    <col min="3" max="3" width="6.81640625" bestFit="1" customWidth="1"/>
    <col min="4" max="4" width="11" bestFit="1" customWidth="1"/>
    <col min="5" max="5" width="7.6328125" bestFit="1" customWidth="1"/>
    <col min="6" max="6" width="9.90625" bestFit="1" customWidth="1"/>
    <col min="7" max="7" width="8.36328125" bestFit="1" customWidth="1"/>
    <col min="8" max="8" width="9.6328125" bestFit="1" customWidth="1"/>
    <col min="9" max="9" width="10.453125" bestFit="1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s="2">
        <v>1001</v>
      </c>
      <c r="B2" s="3">
        <v>45296</v>
      </c>
      <c r="C2" s="2" t="s">
        <v>9</v>
      </c>
      <c r="D2" s="2" t="s">
        <v>10</v>
      </c>
      <c r="E2" s="2" t="s">
        <v>11</v>
      </c>
      <c r="F2" s="2" t="s">
        <v>12</v>
      </c>
      <c r="G2" s="2">
        <v>2</v>
      </c>
      <c r="H2" s="2">
        <v>50000</v>
      </c>
      <c r="I2" s="2">
        <v>100000</v>
      </c>
    </row>
    <row r="3" spans="1:9" x14ac:dyDescent="0.35">
      <c r="A3" s="2">
        <v>1002</v>
      </c>
      <c r="B3" s="3">
        <v>45299</v>
      </c>
      <c r="C3" s="2" t="s">
        <v>13</v>
      </c>
      <c r="D3" s="2" t="s">
        <v>14</v>
      </c>
      <c r="E3" s="2" t="s">
        <v>15</v>
      </c>
      <c r="F3" s="2" t="s">
        <v>12</v>
      </c>
      <c r="G3" s="2">
        <v>5</v>
      </c>
      <c r="H3" s="2">
        <v>20000</v>
      </c>
      <c r="I3" s="2">
        <v>100000</v>
      </c>
    </row>
    <row r="4" spans="1:9" x14ac:dyDescent="0.35">
      <c r="A4" s="2">
        <v>1003</v>
      </c>
      <c r="B4" s="3">
        <v>45303</v>
      </c>
      <c r="C4" s="2" t="s">
        <v>16</v>
      </c>
      <c r="D4" s="2" t="s">
        <v>17</v>
      </c>
      <c r="E4" s="2" t="s">
        <v>18</v>
      </c>
      <c r="F4" s="2" t="s">
        <v>19</v>
      </c>
      <c r="G4" s="2">
        <v>10</v>
      </c>
      <c r="H4" s="2">
        <v>3000</v>
      </c>
      <c r="I4" s="2">
        <v>30000</v>
      </c>
    </row>
    <row r="5" spans="1:9" x14ac:dyDescent="0.35">
      <c r="A5" s="2">
        <v>1004</v>
      </c>
      <c r="B5" s="3">
        <v>45306</v>
      </c>
      <c r="C5" s="2" t="s">
        <v>20</v>
      </c>
      <c r="D5" s="2" t="s">
        <v>21</v>
      </c>
      <c r="E5" s="2" t="s">
        <v>22</v>
      </c>
      <c r="F5" s="2" t="s">
        <v>19</v>
      </c>
      <c r="G5" s="2">
        <v>3</v>
      </c>
      <c r="H5" s="2">
        <v>7000</v>
      </c>
      <c r="I5" s="2">
        <v>21000</v>
      </c>
    </row>
    <row r="6" spans="1:9" x14ac:dyDescent="0.35">
      <c r="A6" s="2">
        <v>1005</v>
      </c>
      <c r="B6" s="3">
        <v>45309</v>
      </c>
      <c r="C6" s="2" t="s">
        <v>9</v>
      </c>
      <c r="D6" s="2" t="s">
        <v>10</v>
      </c>
      <c r="E6" s="2" t="s">
        <v>15</v>
      </c>
      <c r="F6" s="2" t="s">
        <v>12</v>
      </c>
      <c r="G6" s="2">
        <v>4</v>
      </c>
      <c r="H6" s="2">
        <v>20000</v>
      </c>
      <c r="I6" s="2">
        <v>80000</v>
      </c>
    </row>
    <row r="7" spans="1:9" x14ac:dyDescent="0.35">
      <c r="A7" s="2">
        <v>1006</v>
      </c>
      <c r="B7" s="3">
        <v>45311</v>
      </c>
      <c r="C7" s="2" t="s">
        <v>13</v>
      </c>
      <c r="D7" s="2" t="s">
        <v>14</v>
      </c>
      <c r="E7" s="2" t="s">
        <v>11</v>
      </c>
      <c r="F7" s="2" t="s">
        <v>12</v>
      </c>
      <c r="G7" s="2">
        <v>1</v>
      </c>
      <c r="H7" s="2">
        <v>50000</v>
      </c>
      <c r="I7" s="2">
        <v>50000</v>
      </c>
    </row>
    <row r="8" spans="1:9" x14ac:dyDescent="0.35">
      <c r="A8" s="2">
        <v>1007</v>
      </c>
      <c r="B8" s="3">
        <v>45316</v>
      </c>
      <c r="C8" s="2" t="s">
        <v>16</v>
      </c>
      <c r="D8" s="2" t="s">
        <v>17</v>
      </c>
      <c r="E8" s="2" t="s">
        <v>23</v>
      </c>
      <c r="F8" s="2" t="s">
        <v>19</v>
      </c>
      <c r="G8" s="2">
        <v>2</v>
      </c>
      <c r="H8" s="2">
        <v>10000</v>
      </c>
      <c r="I8" s="2">
        <v>20000</v>
      </c>
    </row>
    <row r="9" spans="1:9" x14ac:dyDescent="0.35">
      <c r="A9" s="2">
        <v>1008</v>
      </c>
      <c r="B9" s="3">
        <v>45319</v>
      </c>
      <c r="C9" s="2" t="s">
        <v>20</v>
      </c>
      <c r="D9" s="2" t="s">
        <v>21</v>
      </c>
      <c r="E9" s="2" t="s">
        <v>15</v>
      </c>
      <c r="F9" s="2" t="s">
        <v>12</v>
      </c>
      <c r="G9" s="2">
        <v>6</v>
      </c>
      <c r="H9" s="2">
        <v>20000</v>
      </c>
      <c r="I9" s="2">
        <v>120000</v>
      </c>
    </row>
    <row r="10" spans="1:9" x14ac:dyDescent="0.35">
      <c r="A10" s="2">
        <v>1009</v>
      </c>
      <c r="B10" s="3">
        <v>45324</v>
      </c>
      <c r="C10" s="2" t="s">
        <v>9</v>
      </c>
      <c r="D10" s="2" t="s">
        <v>10</v>
      </c>
      <c r="E10" s="2" t="s">
        <v>22</v>
      </c>
      <c r="F10" s="2" t="s">
        <v>19</v>
      </c>
      <c r="G10" s="2">
        <v>5</v>
      </c>
      <c r="H10" s="2">
        <v>7000</v>
      </c>
      <c r="I10" s="2">
        <v>35000</v>
      </c>
    </row>
    <row r="11" spans="1:9" x14ac:dyDescent="0.35">
      <c r="A11" s="2">
        <v>1010</v>
      </c>
      <c r="B11" s="3">
        <v>45327</v>
      </c>
      <c r="C11" s="2" t="s">
        <v>13</v>
      </c>
      <c r="D11" s="2" t="s">
        <v>14</v>
      </c>
      <c r="E11" s="2" t="s">
        <v>18</v>
      </c>
      <c r="F11" s="2" t="s">
        <v>19</v>
      </c>
      <c r="G11" s="2">
        <v>7</v>
      </c>
      <c r="H11" s="2">
        <v>3000</v>
      </c>
      <c r="I11" s="2">
        <v>21000</v>
      </c>
    </row>
    <row r="13" spans="1:9" x14ac:dyDescent="0.35">
      <c r="F13" s="6" t="s">
        <v>48</v>
      </c>
      <c r="G13" s="6"/>
      <c r="H13" s="6"/>
      <c r="I13">
        <f>SUMIF(F2:F11,"Electronics",I2:I11)</f>
        <v>450000</v>
      </c>
    </row>
    <row r="18" spans="11:12" x14ac:dyDescent="0.35">
      <c r="K18" s="4"/>
      <c r="L18" s="4" t="s">
        <v>40</v>
      </c>
    </row>
    <row r="19" spans="11:12" x14ac:dyDescent="0.35">
      <c r="K19" s="4"/>
      <c r="L19" s="4" t="s">
        <v>41</v>
      </c>
    </row>
    <row r="20" spans="11:12" x14ac:dyDescent="0.35">
      <c r="K20" s="4"/>
    </row>
    <row r="21" spans="11:12" x14ac:dyDescent="0.35">
      <c r="K21" s="4"/>
    </row>
  </sheetData>
  <mergeCells count="1">
    <mergeCell ref="F13:H13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BB0DC3-437B-40FA-B68E-3951A5D655B6}">
  <dimension ref="A1:L21"/>
  <sheetViews>
    <sheetView workbookViewId="0">
      <selection activeCell="I13" sqref="I13"/>
    </sheetView>
  </sheetViews>
  <sheetFormatPr defaultRowHeight="14.5" x14ac:dyDescent="0.35"/>
  <cols>
    <col min="1" max="1" width="8.54296875" bestFit="1" customWidth="1"/>
    <col min="2" max="2" width="10.36328125" bestFit="1" customWidth="1"/>
    <col min="3" max="3" width="6.81640625" bestFit="1" customWidth="1"/>
    <col min="4" max="4" width="11" bestFit="1" customWidth="1"/>
    <col min="5" max="5" width="7.6328125" bestFit="1" customWidth="1"/>
    <col min="6" max="6" width="9.90625" bestFit="1" customWidth="1"/>
    <col min="7" max="7" width="8.36328125" bestFit="1" customWidth="1"/>
    <col min="8" max="8" width="9.6328125" bestFit="1" customWidth="1"/>
    <col min="9" max="9" width="10.453125" bestFit="1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s="2">
        <v>1001</v>
      </c>
      <c r="B2" s="3">
        <v>45296</v>
      </c>
      <c r="C2" s="2" t="s">
        <v>9</v>
      </c>
      <c r="D2" s="2" t="s">
        <v>10</v>
      </c>
      <c r="E2" s="2" t="s">
        <v>11</v>
      </c>
      <c r="F2" s="2" t="s">
        <v>12</v>
      </c>
      <c r="G2" s="2">
        <v>2</v>
      </c>
      <c r="H2" s="2">
        <v>50000</v>
      </c>
      <c r="I2" s="2">
        <v>100000</v>
      </c>
    </row>
    <row r="3" spans="1:9" x14ac:dyDescent="0.35">
      <c r="A3" s="2">
        <v>1002</v>
      </c>
      <c r="B3" s="3">
        <v>45299</v>
      </c>
      <c r="C3" s="2" t="s">
        <v>13</v>
      </c>
      <c r="D3" s="2" t="s">
        <v>14</v>
      </c>
      <c r="E3" s="2" t="s">
        <v>15</v>
      </c>
      <c r="F3" s="2" t="s">
        <v>12</v>
      </c>
      <c r="G3" s="2">
        <v>5</v>
      </c>
      <c r="H3" s="2">
        <v>20000</v>
      </c>
      <c r="I3" s="2">
        <v>100000</v>
      </c>
    </row>
    <row r="4" spans="1:9" x14ac:dyDescent="0.35">
      <c r="A4" s="2">
        <v>1003</v>
      </c>
      <c r="B4" s="3">
        <v>45303</v>
      </c>
      <c r="C4" s="2" t="s">
        <v>16</v>
      </c>
      <c r="D4" s="2" t="s">
        <v>17</v>
      </c>
      <c r="E4" s="2" t="s">
        <v>18</v>
      </c>
      <c r="F4" s="2" t="s">
        <v>19</v>
      </c>
      <c r="G4" s="2">
        <v>10</v>
      </c>
      <c r="H4" s="2">
        <v>3000</v>
      </c>
      <c r="I4" s="2">
        <v>30000</v>
      </c>
    </row>
    <row r="5" spans="1:9" x14ac:dyDescent="0.35">
      <c r="A5" s="2">
        <v>1004</v>
      </c>
      <c r="B5" s="3">
        <v>45306</v>
      </c>
      <c r="C5" s="2" t="s">
        <v>20</v>
      </c>
      <c r="D5" s="2" t="s">
        <v>21</v>
      </c>
      <c r="E5" s="2" t="s">
        <v>22</v>
      </c>
      <c r="F5" s="2" t="s">
        <v>19</v>
      </c>
      <c r="G5" s="2">
        <v>3</v>
      </c>
      <c r="H5" s="2">
        <v>7000</v>
      </c>
      <c r="I5" s="2">
        <v>21000</v>
      </c>
    </row>
    <row r="6" spans="1:9" x14ac:dyDescent="0.35">
      <c r="A6" s="2">
        <v>1005</v>
      </c>
      <c r="B6" s="3">
        <v>45309</v>
      </c>
      <c r="C6" s="2" t="s">
        <v>9</v>
      </c>
      <c r="D6" s="2" t="s">
        <v>10</v>
      </c>
      <c r="E6" s="2" t="s">
        <v>15</v>
      </c>
      <c r="F6" s="2" t="s">
        <v>12</v>
      </c>
      <c r="G6" s="2">
        <v>4</v>
      </c>
      <c r="H6" s="2">
        <v>20000</v>
      </c>
      <c r="I6" s="2">
        <v>80000</v>
      </c>
    </row>
    <row r="7" spans="1:9" x14ac:dyDescent="0.35">
      <c r="A7" s="2">
        <v>1006</v>
      </c>
      <c r="B7" s="3">
        <v>45311</v>
      </c>
      <c r="C7" s="2" t="s">
        <v>13</v>
      </c>
      <c r="D7" s="2" t="s">
        <v>14</v>
      </c>
      <c r="E7" s="2" t="s">
        <v>11</v>
      </c>
      <c r="F7" s="2" t="s">
        <v>12</v>
      </c>
      <c r="G7" s="2">
        <v>1</v>
      </c>
      <c r="H7" s="2">
        <v>50000</v>
      </c>
      <c r="I7" s="2">
        <v>50000</v>
      </c>
    </row>
    <row r="8" spans="1:9" x14ac:dyDescent="0.35">
      <c r="A8" s="2">
        <v>1007</v>
      </c>
      <c r="B8" s="3">
        <v>45316</v>
      </c>
      <c r="C8" s="2" t="s">
        <v>16</v>
      </c>
      <c r="D8" s="2" t="s">
        <v>17</v>
      </c>
      <c r="E8" s="2" t="s">
        <v>23</v>
      </c>
      <c r="F8" s="2" t="s">
        <v>19</v>
      </c>
      <c r="G8" s="2">
        <v>2</v>
      </c>
      <c r="H8" s="2">
        <v>10000</v>
      </c>
      <c r="I8" s="2">
        <v>20000</v>
      </c>
    </row>
    <row r="9" spans="1:9" x14ac:dyDescent="0.35">
      <c r="A9" s="2">
        <v>1008</v>
      </c>
      <c r="B9" s="3">
        <v>45319</v>
      </c>
      <c r="C9" s="2" t="s">
        <v>20</v>
      </c>
      <c r="D9" s="2" t="s">
        <v>21</v>
      </c>
      <c r="E9" s="2" t="s">
        <v>15</v>
      </c>
      <c r="F9" s="2" t="s">
        <v>12</v>
      </c>
      <c r="G9" s="2">
        <v>6</v>
      </c>
      <c r="H9" s="2">
        <v>20000</v>
      </c>
      <c r="I9" s="2">
        <v>120000</v>
      </c>
    </row>
    <row r="10" spans="1:9" x14ac:dyDescent="0.35">
      <c r="A10" s="2">
        <v>1009</v>
      </c>
      <c r="B10" s="3">
        <v>45324</v>
      </c>
      <c r="C10" s="2" t="s">
        <v>9</v>
      </c>
      <c r="D10" s="2" t="s">
        <v>10</v>
      </c>
      <c r="E10" s="2" t="s">
        <v>22</v>
      </c>
      <c r="F10" s="2" t="s">
        <v>19</v>
      </c>
      <c r="G10" s="2">
        <v>5</v>
      </c>
      <c r="H10" s="2">
        <v>7000</v>
      </c>
      <c r="I10" s="2">
        <v>35000</v>
      </c>
    </row>
    <row r="11" spans="1:9" x14ac:dyDescent="0.35">
      <c r="A11" s="2">
        <v>1010</v>
      </c>
      <c r="B11" s="3">
        <v>45327</v>
      </c>
      <c r="C11" s="2" t="s">
        <v>13</v>
      </c>
      <c r="D11" s="2" t="s">
        <v>14</v>
      </c>
      <c r="E11" s="2" t="s">
        <v>18</v>
      </c>
      <c r="F11" s="2" t="s">
        <v>19</v>
      </c>
      <c r="G11" s="2">
        <v>7</v>
      </c>
      <c r="H11" s="2">
        <v>3000</v>
      </c>
      <c r="I11" s="2">
        <v>21000</v>
      </c>
    </row>
    <row r="13" spans="1:9" x14ac:dyDescent="0.35">
      <c r="F13" s="6" t="s">
        <v>49</v>
      </c>
      <c r="G13" s="6"/>
      <c r="H13" s="6"/>
      <c r="I13">
        <f>SUMIF(D2:D11,"Amit",I2:I11)</f>
        <v>215000</v>
      </c>
    </row>
    <row r="18" spans="11:12" x14ac:dyDescent="0.35">
      <c r="K18" s="4"/>
      <c r="L18" s="4" t="s">
        <v>40</v>
      </c>
    </row>
    <row r="19" spans="11:12" x14ac:dyDescent="0.35">
      <c r="K19" s="4"/>
      <c r="L19" s="4" t="s">
        <v>41</v>
      </c>
    </row>
    <row r="20" spans="11:12" x14ac:dyDescent="0.35">
      <c r="K20" s="4"/>
    </row>
    <row r="21" spans="11:12" x14ac:dyDescent="0.35">
      <c r="K21" s="4"/>
    </row>
  </sheetData>
  <mergeCells count="1">
    <mergeCell ref="F13:H13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C95E0-2E9E-4A82-9064-5DDE10154C2C}">
  <dimension ref="A1:L21"/>
  <sheetViews>
    <sheetView workbookViewId="0">
      <selection activeCell="I14" sqref="I14"/>
    </sheetView>
  </sheetViews>
  <sheetFormatPr defaultRowHeight="14.5" x14ac:dyDescent="0.35"/>
  <cols>
    <col min="1" max="1" width="8.54296875" bestFit="1" customWidth="1"/>
    <col min="2" max="2" width="10.36328125" bestFit="1" customWidth="1"/>
    <col min="3" max="3" width="6.81640625" bestFit="1" customWidth="1"/>
    <col min="4" max="4" width="11" bestFit="1" customWidth="1"/>
    <col min="5" max="5" width="7.6328125" bestFit="1" customWidth="1"/>
    <col min="6" max="6" width="9.90625" bestFit="1" customWidth="1"/>
    <col min="7" max="7" width="8.36328125" bestFit="1" customWidth="1"/>
    <col min="8" max="8" width="9.6328125" bestFit="1" customWidth="1"/>
    <col min="9" max="9" width="10.453125" bestFit="1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s="2">
        <v>1001</v>
      </c>
      <c r="B2" s="3">
        <v>45296</v>
      </c>
      <c r="C2" s="2" t="s">
        <v>9</v>
      </c>
      <c r="D2" s="2" t="s">
        <v>10</v>
      </c>
      <c r="E2" s="2" t="s">
        <v>11</v>
      </c>
      <c r="F2" s="2" t="s">
        <v>12</v>
      </c>
      <c r="G2" s="2">
        <v>2</v>
      </c>
      <c r="H2" s="2">
        <v>50000</v>
      </c>
      <c r="I2" s="2">
        <v>100000</v>
      </c>
    </row>
    <row r="3" spans="1:9" x14ac:dyDescent="0.35">
      <c r="A3" s="2">
        <v>1002</v>
      </c>
      <c r="B3" s="3">
        <v>45299</v>
      </c>
      <c r="C3" s="2" t="s">
        <v>13</v>
      </c>
      <c r="D3" s="2" t="s">
        <v>14</v>
      </c>
      <c r="E3" s="2" t="s">
        <v>15</v>
      </c>
      <c r="F3" s="2" t="s">
        <v>12</v>
      </c>
      <c r="G3" s="2">
        <v>5</v>
      </c>
      <c r="H3" s="2">
        <v>20000</v>
      </c>
      <c r="I3" s="2">
        <v>100000</v>
      </c>
    </row>
    <row r="4" spans="1:9" x14ac:dyDescent="0.35">
      <c r="A4" s="2">
        <v>1003</v>
      </c>
      <c r="B4" s="3">
        <v>45303</v>
      </c>
      <c r="C4" s="2" t="s">
        <v>16</v>
      </c>
      <c r="D4" s="2" t="s">
        <v>17</v>
      </c>
      <c r="E4" s="2" t="s">
        <v>18</v>
      </c>
      <c r="F4" s="2" t="s">
        <v>19</v>
      </c>
      <c r="G4" s="2">
        <v>10</v>
      </c>
      <c r="H4" s="2">
        <v>3000</v>
      </c>
      <c r="I4" s="2">
        <v>30000</v>
      </c>
    </row>
    <row r="5" spans="1:9" x14ac:dyDescent="0.35">
      <c r="A5" s="2">
        <v>1004</v>
      </c>
      <c r="B5" s="3">
        <v>45306</v>
      </c>
      <c r="C5" s="2" t="s">
        <v>20</v>
      </c>
      <c r="D5" s="2" t="s">
        <v>21</v>
      </c>
      <c r="E5" s="2" t="s">
        <v>22</v>
      </c>
      <c r="F5" s="2" t="s">
        <v>19</v>
      </c>
      <c r="G5" s="2">
        <v>3</v>
      </c>
      <c r="H5" s="2">
        <v>7000</v>
      </c>
      <c r="I5" s="2">
        <v>21000</v>
      </c>
    </row>
    <row r="6" spans="1:9" x14ac:dyDescent="0.35">
      <c r="A6" s="2">
        <v>1005</v>
      </c>
      <c r="B6" s="3">
        <v>45309</v>
      </c>
      <c r="C6" s="2" t="s">
        <v>9</v>
      </c>
      <c r="D6" s="2" t="s">
        <v>10</v>
      </c>
      <c r="E6" s="2" t="s">
        <v>15</v>
      </c>
      <c r="F6" s="2" t="s">
        <v>12</v>
      </c>
      <c r="G6" s="2">
        <v>4</v>
      </c>
      <c r="H6" s="2">
        <v>20000</v>
      </c>
      <c r="I6" s="2">
        <v>80000</v>
      </c>
    </row>
    <row r="7" spans="1:9" x14ac:dyDescent="0.35">
      <c r="A7" s="2">
        <v>1006</v>
      </c>
      <c r="B7" s="3">
        <v>45311</v>
      </c>
      <c r="C7" s="2" t="s">
        <v>13</v>
      </c>
      <c r="D7" s="2" t="s">
        <v>14</v>
      </c>
      <c r="E7" s="2" t="s">
        <v>11</v>
      </c>
      <c r="F7" s="2" t="s">
        <v>12</v>
      </c>
      <c r="G7" s="2">
        <v>1</v>
      </c>
      <c r="H7" s="2">
        <v>50000</v>
      </c>
      <c r="I7" s="2">
        <v>50000</v>
      </c>
    </row>
    <row r="8" spans="1:9" x14ac:dyDescent="0.35">
      <c r="A8" s="2">
        <v>1007</v>
      </c>
      <c r="B8" s="3">
        <v>45316</v>
      </c>
      <c r="C8" s="2" t="s">
        <v>16</v>
      </c>
      <c r="D8" s="2" t="s">
        <v>17</v>
      </c>
      <c r="E8" s="2" t="s">
        <v>23</v>
      </c>
      <c r="F8" s="2" t="s">
        <v>19</v>
      </c>
      <c r="G8" s="2">
        <v>2</v>
      </c>
      <c r="H8" s="2">
        <v>10000</v>
      </c>
      <c r="I8" s="2">
        <v>20000</v>
      </c>
    </row>
    <row r="9" spans="1:9" x14ac:dyDescent="0.35">
      <c r="A9" s="2">
        <v>1008</v>
      </c>
      <c r="B9" s="3">
        <v>45319</v>
      </c>
      <c r="C9" s="2" t="s">
        <v>20</v>
      </c>
      <c r="D9" s="2" t="s">
        <v>21</v>
      </c>
      <c r="E9" s="2" t="s">
        <v>15</v>
      </c>
      <c r="F9" s="2" t="s">
        <v>12</v>
      </c>
      <c r="G9" s="2">
        <v>6</v>
      </c>
      <c r="H9" s="2">
        <v>20000</v>
      </c>
      <c r="I9" s="2">
        <v>120000</v>
      </c>
    </row>
    <row r="10" spans="1:9" x14ac:dyDescent="0.35">
      <c r="A10" s="2">
        <v>1009</v>
      </c>
      <c r="B10" s="3">
        <v>45324</v>
      </c>
      <c r="C10" s="2" t="s">
        <v>9</v>
      </c>
      <c r="D10" s="2" t="s">
        <v>10</v>
      </c>
      <c r="E10" s="2" t="s">
        <v>22</v>
      </c>
      <c r="F10" s="2" t="s">
        <v>19</v>
      </c>
      <c r="G10" s="2">
        <v>5</v>
      </c>
      <c r="H10" s="2">
        <v>7000</v>
      </c>
      <c r="I10" s="2">
        <v>35000</v>
      </c>
    </row>
    <row r="11" spans="1:9" x14ac:dyDescent="0.35">
      <c r="A11" s="2">
        <v>1010</v>
      </c>
      <c r="B11" s="3">
        <v>45327</v>
      </c>
      <c r="C11" s="2" t="s">
        <v>13</v>
      </c>
      <c r="D11" s="2" t="s">
        <v>14</v>
      </c>
      <c r="E11" s="2" t="s">
        <v>18</v>
      </c>
      <c r="F11" s="2" t="s">
        <v>19</v>
      </c>
      <c r="G11" s="2">
        <v>7</v>
      </c>
      <c r="H11" s="2">
        <v>3000</v>
      </c>
      <c r="I11" s="2">
        <v>21000</v>
      </c>
    </row>
    <row r="13" spans="1:9" x14ac:dyDescent="0.35">
      <c r="F13" s="6" t="s">
        <v>50</v>
      </c>
      <c r="G13" s="6"/>
      <c r="H13" s="6"/>
      <c r="I13">
        <f>SUMIFS(I2:I11,F2:F11,F2,C2:C11,C2)</f>
        <v>180000</v>
      </c>
    </row>
    <row r="18" spans="11:12" x14ac:dyDescent="0.35">
      <c r="K18" s="4"/>
      <c r="L18" s="4" t="s">
        <v>40</v>
      </c>
    </row>
    <row r="19" spans="11:12" x14ac:dyDescent="0.35">
      <c r="K19" s="4"/>
      <c r="L19" s="4" t="s">
        <v>41</v>
      </c>
    </row>
    <row r="20" spans="11:12" x14ac:dyDescent="0.35">
      <c r="K20" s="4"/>
    </row>
    <row r="21" spans="11:12" x14ac:dyDescent="0.35">
      <c r="K21" s="4"/>
    </row>
  </sheetData>
  <mergeCells count="1">
    <mergeCell ref="F13:H13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CD8F32-2D19-43E2-A6D9-A15E7FBED89A}">
  <dimension ref="A1:L21"/>
  <sheetViews>
    <sheetView workbookViewId="0">
      <selection activeCell="I13" sqref="I13"/>
    </sheetView>
  </sheetViews>
  <sheetFormatPr defaultRowHeight="14.5" x14ac:dyDescent="0.35"/>
  <cols>
    <col min="1" max="1" width="8.54296875" bestFit="1" customWidth="1"/>
    <col min="2" max="2" width="10.36328125" bestFit="1" customWidth="1"/>
    <col min="3" max="3" width="6.81640625" bestFit="1" customWidth="1"/>
    <col min="4" max="4" width="11" bestFit="1" customWidth="1"/>
    <col min="5" max="5" width="7.6328125" bestFit="1" customWidth="1"/>
    <col min="6" max="6" width="9.90625" bestFit="1" customWidth="1"/>
    <col min="7" max="7" width="8.36328125" bestFit="1" customWidth="1"/>
    <col min="8" max="8" width="9.6328125" bestFit="1" customWidth="1"/>
    <col min="9" max="9" width="10.453125" bestFit="1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s="2">
        <v>1001</v>
      </c>
      <c r="B2" s="3">
        <v>45296</v>
      </c>
      <c r="C2" s="2" t="s">
        <v>9</v>
      </c>
      <c r="D2" s="2" t="s">
        <v>10</v>
      </c>
      <c r="E2" s="2" t="s">
        <v>11</v>
      </c>
      <c r="F2" s="2" t="s">
        <v>12</v>
      </c>
      <c r="G2" s="2">
        <v>2</v>
      </c>
      <c r="H2" s="2">
        <v>50000</v>
      </c>
      <c r="I2" s="2">
        <v>100000</v>
      </c>
    </row>
    <row r="3" spans="1:9" x14ac:dyDescent="0.35">
      <c r="A3" s="2">
        <v>1002</v>
      </c>
      <c r="B3" s="3">
        <v>45299</v>
      </c>
      <c r="C3" s="2" t="s">
        <v>13</v>
      </c>
      <c r="D3" s="2" t="s">
        <v>14</v>
      </c>
      <c r="E3" s="2" t="s">
        <v>15</v>
      </c>
      <c r="F3" s="2" t="s">
        <v>12</v>
      </c>
      <c r="G3" s="2">
        <v>5</v>
      </c>
      <c r="H3" s="2">
        <v>20000</v>
      </c>
      <c r="I3" s="2">
        <v>100000</v>
      </c>
    </row>
    <row r="4" spans="1:9" x14ac:dyDescent="0.35">
      <c r="A4" s="2">
        <v>1003</v>
      </c>
      <c r="B4" s="3">
        <v>45303</v>
      </c>
      <c r="C4" s="2" t="s">
        <v>16</v>
      </c>
      <c r="D4" s="2" t="s">
        <v>17</v>
      </c>
      <c r="E4" s="2" t="s">
        <v>18</v>
      </c>
      <c r="F4" s="2" t="s">
        <v>19</v>
      </c>
      <c r="G4" s="2">
        <v>10</v>
      </c>
      <c r="H4" s="2">
        <v>3000</v>
      </c>
      <c r="I4" s="2">
        <v>30000</v>
      </c>
    </row>
    <row r="5" spans="1:9" x14ac:dyDescent="0.35">
      <c r="A5" s="2">
        <v>1004</v>
      </c>
      <c r="B5" s="3">
        <v>45306</v>
      </c>
      <c r="C5" s="2" t="s">
        <v>20</v>
      </c>
      <c r="D5" s="2" t="s">
        <v>21</v>
      </c>
      <c r="E5" s="2" t="s">
        <v>22</v>
      </c>
      <c r="F5" s="2" t="s">
        <v>19</v>
      </c>
      <c r="G5" s="2">
        <v>3</v>
      </c>
      <c r="H5" s="2">
        <v>7000</v>
      </c>
      <c r="I5" s="2">
        <v>21000</v>
      </c>
    </row>
    <row r="6" spans="1:9" x14ac:dyDescent="0.35">
      <c r="A6" s="2">
        <v>1005</v>
      </c>
      <c r="B6" s="3">
        <v>45309</v>
      </c>
      <c r="C6" s="2" t="s">
        <v>9</v>
      </c>
      <c r="D6" s="2" t="s">
        <v>10</v>
      </c>
      <c r="E6" s="2" t="s">
        <v>15</v>
      </c>
      <c r="F6" s="2" t="s">
        <v>12</v>
      </c>
      <c r="G6" s="2">
        <v>4</v>
      </c>
      <c r="H6" s="2">
        <v>20000</v>
      </c>
      <c r="I6" s="2">
        <v>80000</v>
      </c>
    </row>
    <row r="7" spans="1:9" x14ac:dyDescent="0.35">
      <c r="A7" s="2">
        <v>1006</v>
      </c>
      <c r="B7" s="3">
        <v>45311</v>
      </c>
      <c r="C7" s="2" t="s">
        <v>13</v>
      </c>
      <c r="D7" s="2" t="s">
        <v>14</v>
      </c>
      <c r="E7" s="2" t="s">
        <v>11</v>
      </c>
      <c r="F7" s="2" t="s">
        <v>12</v>
      </c>
      <c r="G7" s="2">
        <v>1</v>
      </c>
      <c r="H7" s="2">
        <v>50000</v>
      </c>
      <c r="I7" s="2">
        <v>50000</v>
      </c>
    </row>
    <row r="8" spans="1:9" x14ac:dyDescent="0.35">
      <c r="A8" s="2">
        <v>1007</v>
      </c>
      <c r="B8" s="3">
        <v>45316</v>
      </c>
      <c r="C8" s="2" t="s">
        <v>16</v>
      </c>
      <c r="D8" s="2" t="s">
        <v>17</v>
      </c>
      <c r="E8" s="2" t="s">
        <v>23</v>
      </c>
      <c r="F8" s="2" t="s">
        <v>19</v>
      </c>
      <c r="G8" s="2">
        <v>2</v>
      </c>
      <c r="H8" s="2">
        <v>10000</v>
      </c>
      <c r="I8" s="2">
        <v>20000</v>
      </c>
    </row>
    <row r="9" spans="1:9" x14ac:dyDescent="0.35">
      <c r="A9" s="2">
        <v>1008</v>
      </c>
      <c r="B9" s="3">
        <v>45319</v>
      </c>
      <c r="C9" s="2" t="s">
        <v>20</v>
      </c>
      <c r="D9" s="2" t="s">
        <v>21</v>
      </c>
      <c r="E9" s="2" t="s">
        <v>15</v>
      </c>
      <c r="F9" s="2" t="s">
        <v>12</v>
      </c>
      <c r="G9" s="2">
        <v>6</v>
      </c>
      <c r="H9" s="2">
        <v>20000</v>
      </c>
      <c r="I9" s="2">
        <v>120000</v>
      </c>
    </row>
    <row r="10" spans="1:9" x14ac:dyDescent="0.35">
      <c r="A10" s="2">
        <v>1009</v>
      </c>
      <c r="B10" s="3">
        <v>45324</v>
      </c>
      <c r="C10" s="2" t="s">
        <v>9</v>
      </c>
      <c r="D10" s="2" t="s">
        <v>10</v>
      </c>
      <c r="E10" s="2" t="s">
        <v>22</v>
      </c>
      <c r="F10" s="2" t="s">
        <v>19</v>
      </c>
      <c r="G10" s="2">
        <v>5</v>
      </c>
      <c r="H10" s="2">
        <v>7000</v>
      </c>
      <c r="I10" s="2">
        <v>35000</v>
      </c>
    </row>
    <row r="11" spans="1:9" x14ac:dyDescent="0.35">
      <c r="A11" s="2">
        <v>1010</v>
      </c>
      <c r="B11" s="3">
        <v>45327</v>
      </c>
      <c r="C11" s="2" t="s">
        <v>13</v>
      </c>
      <c r="D11" s="2" t="s">
        <v>14</v>
      </c>
      <c r="E11" s="2" t="s">
        <v>18</v>
      </c>
      <c r="F11" s="2" t="s">
        <v>19</v>
      </c>
      <c r="G11" s="2">
        <v>7</v>
      </c>
      <c r="H11" s="2">
        <v>3000</v>
      </c>
      <c r="I11" s="2">
        <v>21000</v>
      </c>
    </row>
    <row r="13" spans="1:9" x14ac:dyDescent="0.35">
      <c r="F13" s="6" t="s">
        <v>51</v>
      </c>
      <c r="G13" s="6"/>
      <c r="H13" s="6"/>
      <c r="I13">
        <f>SUMIFS(I2:I11,D2:D11,D3,C2:C11,C3)</f>
        <v>171000</v>
      </c>
    </row>
    <row r="18" spans="11:12" x14ac:dyDescent="0.35">
      <c r="K18" s="4"/>
      <c r="L18" s="4" t="s">
        <v>40</v>
      </c>
    </row>
    <row r="19" spans="11:12" x14ac:dyDescent="0.35">
      <c r="K19" s="4"/>
      <c r="L19" s="4" t="s">
        <v>41</v>
      </c>
    </row>
    <row r="20" spans="11:12" x14ac:dyDescent="0.35">
      <c r="K20" s="4"/>
    </row>
    <row r="21" spans="11:12" x14ac:dyDescent="0.35">
      <c r="K21" s="4"/>
    </row>
  </sheetData>
  <mergeCells count="1">
    <mergeCell ref="F13:H13"/>
  </mergeCells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C4F600-E9C3-4D2B-BD68-1DC1041B6768}">
  <dimension ref="A1:O21"/>
  <sheetViews>
    <sheetView workbookViewId="0">
      <selection activeCell="K14" sqref="K14"/>
    </sheetView>
  </sheetViews>
  <sheetFormatPr defaultRowHeight="14.5" x14ac:dyDescent="0.35"/>
  <cols>
    <col min="1" max="1" width="8.54296875" bestFit="1" customWidth="1"/>
    <col min="2" max="2" width="10.36328125" bestFit="1" customWidth="1"/>
    <col min="3" max="3" width="6.81640625" bestFit="1" customWidth="1"/>
    <col min="4" max="4" width="11" bestFit="1" customWidth="1"/>
    <col min="5" max="5" width="7.6328125" bestFit="1" customWidth="1"/>
    <col min="6" max="6" width="9.90625" bestFit="1" customWidth="1"/>
    <col min="7" max="7" width="8.36328125" bestFit="1" customWidth="1"/>
    <col min="8" max="8" width="9.6328125" bestFit="1" customWidth="1"/>
    <col min="9" max="9" width="10.453125" bestFit="1" customWidth="1"/>
  </cols>
  <sheetData>
    <row r="1" spans="1:1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15" x14ac:dyDescent="0.35">
      <c r="A2" s="2">
        <v>1001</v>
      </c>
      <c r="B2" s="3">
        <v>45296</v>
      </c>
      <c r="C2" s="2" t="s">
        <v>9</v>
      </c>
      <c r="D2" s="2" t="s">
        <v>10</v>
      </c>
      <c r="E2" s="2" t="s">
        <v>11</v>
      </c>
      <c r="F2" s="2" t="s">
        <v>12</v>
      </c>
      <c r="G2" s="2">
        <v>2</v>
      </c>
      <c r="H2" s="2">
        <v>50000</v>
      </c>
      <c r="I2" s="2">
        <v>100000</v>
      </c>
    </row>
    <row r="3" spans="1:15" x14ac:dyDescent="0.35">
      <c r="A3" s="2">
        <v>1002</v>
      </c>
      <c r="B3" s="3">
        <v>45299</v>
      </c>
      <c r="C3" s="2" t="s">
        <v>13</v>
      </c>
      <c r="D3" s="2" t="s">
        <v>14</v>
      </c>
      <c r="E3" s="2" t="s">
        <v>15</v>
      </c>
      <c r="F3" s="2" t="s">
        <v>12</v>
      </c>
      <c r="G3" s="2">
        <v>5</v>
      </c>
      <c r="H3" s="2">
        <v>20000</v>
      </c>
      <c r="I3" s="2">
        <v>100000</v>
      </c>
    </row>
    <row r="4" spans="1:15" x14ac:dyDescent="0.35">
      <c r="A4" s="2">
        <v>1003</v>
      </c>
      <c r="B4" s="3">
        <v>45303</v>
      </c>
      <c r="C4" s="2" t="s">
        <v>16</v>
      </c>
      <c r="D4" s="2" t="s">
        <v>17</v>
      </c>
      <c r="E4" s="2" t="s">
        <v>18</v>
      </c>
      <c r="F4" s="2" t="s">
        <v>19</v>
      </c>
      <c r="G4" s="2">
        <v>10</v>
      </c>
      <c r="H4" s="2">
        <v>3000</v>
      </c>
      <c r="I4" s="2">
        <v>30000</v>
      </c>
    </row>
    <row r="5" spans="1:15" x14ac:dyDescent="0.35">
      <c r="A5" s="2">
        <v>1004</v>
      </c>
      <c r="B5" s="3">
        <v>45306</v>
      </c>
      <c r="C5" s="2" t="s">
        <v>20</v>
      </c>
      <c r="D5" s="2" t="s">
        <v>21</v>
      </c>
      <c r="E5" s="2" t="s">
        <v>22</v>
      </c>
      <c r="F5" s="2" t="s">
        <v>19</v>
      </c>
      <c r="G5" s="2">
        <v>3</v>
      </c>
      <c r="H5" s="2">
        <v>7000</v>
      </c>
      <c r="I5" s="2">
        <v>21000</v>
      </c>
      <c r="K5" s="5" t="s">
        <v>37</v>
      </c>
      <c r="L5" s="5"/>
      <c r="M5" s="5"/>
      <c r="N5" s="5"/>
      <c r="O5" s="5"/>
    </row>
    <row r="6" spans="1:15" x14ac:dyDescent="0.35">
      <c r="A6" s="2">
        <v>1005</v>
      </c>
      <c r="B6" s="3">
        <v>45309</v>
      </c>
      <c r="C6" s="2" t="s">
        <v>9</v>
      </c>
      <c r="D6" s="2" t="s">
        <v>10</v>
      </c>
      <c r="E6" s="2" t="s">
        <v>15</v>
      </c>
      <c r="F6" s="2" t="s">
        <v>12</v>
      </c>
      <c r="G6" s="2">
        <v>4</v>
      </c>
      <c r="H6" s="2">
        <v>20000</v>
      </c>
      <c r="I6" s="2">
        <v>80000</v>
      </c>
    </row>
    <row r="7" spans="1:15" x14ac:dyDescent="0.35">
      <c r="A7" s="2">
        <v>1006</v>
      </c>
      <c r="B7" s="3">
        <v>45311</v>
      </c>
      <c r="C7" s="2" t="s">
        <v>13</v>
      </c>
      <c r="D7" s="2" t="s">
        <v>14</v>
      </c>
      <c r="E7" s="2" t="s">
        <v>11</v>
      </c>
      <c r="F7" s="2" t="s">
        <v>12</v>
      </c>
      <c r="G7" s="2">
        <v>1</v>
      </c>
      <c r="H7" s="2">
        <v>50000</v>
      </c>
      <c r="I7" s="2">
        <v>50000</v>
      </c>
    </row>
    <row r="8" spans="1:15" x14ac:dyDescent="0.35">
      <c r="A8" s="2">
        <v>1007</v>
      </c>
      <c r="B8" s="3">
        <v>45316</v>
      </c>
      <c r="C8" s="2" t="s">
        <v>16</v>
      </c>
      <c r="D8" s="2" t="s">
        <v>17</v>
      </c>
      <c r="E8" s="2" t="s">
        <v>23</v>
      </c>
      <c r="F8" s="2" t="s">
        <v>19</v>
      </c>
      <c r="G8" s="2">
        <v>2</v>
      </c>
      <c r="H8" s="2">
        <v>10000</v>
      </c>
      <c r="I8" s="2">
        <v>20000</v>
      </c>
    </row>
    <row r="9" spans="1:15" x14ac:dyDescent="0.35">
      <c r="A9" s="2">
        <v>1008</v>
      </c>
      <c r="B9" s="3">
        <v>45319</v>
      </c>
      <c r="C9" s="2" t="s">
        <v>20</v>
      </c>
      <c r="D9" s="2" t="s">
        <v>21</v>
      </c>
      <c r="E9" s="2" t="s">
        <v>15</v>
      </c>
      <c r="F9" s="2" t="s">
        <v>12</v>
      </c>
      <c r="G9" s="2">
        <v>6</v>
      </c>
      <c r="H9" s="2">
        <v>20000</v>
      </c>
      <c r="I9" s="2">
        <v>120000</v>
      </c>
    </row>
    <row r="10" spans="1:15" x14ac:dyDescent="0.35">
      <c r="A10" s="2">
        <v>1009</v>
      </c>
      <c r="B10" s="3">
        <v>45324</v>
      </c>
      <c r="C10" s="2" t="s">
        <v>9</v>
      </c>
      <c r="D10" s="2" t="s">
        <v>10</v>
      </c>
      <c r="E10" s="2" t="s">
        <v>22</v>
      </c>
      <c r="F10" s="2" t="s">
        <v>19</v>
      </c>
      <c r="G10" s="2">
        <v>5</v>
      </c>
      <c r="H10" s="2">
        <v>7000</v>
      </c>
      <c r="I10" s="2">
        <v>35000</v>
      </c>
    </row>
    <row r="11" spans="1:15" x14ac:dyDescent="0.35">
      <c r="A11" s="2">
        <v>1010</v>
      </c>
      <c r="B11" s="3">
        <v>45327</v>
      </c>
      <c r="C11" s="2" t="s">
        <v>13</v>
      </c>
      <c r="D11" s="2" t="s">
        <v>14</v>
      </c>
      <c r="E11" s="2" t="s">
        <v>18</v>
      </c>
      <c r="F11" s="2" t="s">
        <v>19</v>
      </c>
      <c r="G11" s="2">
        <v>7</v>
      </c>
      <c r="H11" s="2">
        <v>3000</v>
      </c>
      <c r="I11" s="2">
        <v>21000</v>
      </c>
    </row>
    <row r="18" spans="11:12" x14ac:dyDescent="0.35">
      <c r="K18" s="4"/>
      <c r="L18" s="4" t="s">
        <v>40</v>
      </c>
    </row>
    <row r="19" spans="11:12" x14ac:dyDescent="0.35">
      <c r="K19" s="4"/>
      <c r="L19" s="4" t="s">
        <v>41</v>
      </c>
    </row>
    <row r="20" spans="11:12" x14ac:dyDescent="0.35">
      <c r="K20" s="4"/>
    </row>
    <row r="21" spans="11:12" x14ac:dyDescent="0.35">
      <c r="K21" s="4"/>
    </row>
  </sheetData>
  <mergeCells count="1">
    <mergeCell ref="K5:O5"/>
  </mergeCells>
  <conditionalFormatting sqref="I2:I11">
    <cfRule type="cellIs" dxfId="0" priority="2" operator="greaterThan">
      <formula>100000</formula>
    </cfRule>
    <cfRule type="cellIs" dxfId="1" priority="1" operator="greaterThan">
      <formula>100000</formula>
    </cfRule>
  </conditionalFormatting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1C2CEB-956D-4CE5-BF04-A467C7A43D90}">
  <dimension ref="A1:N21"/>
  <sheetViews>
    <sheetView workbookViewId="0">
      <selection activeCell="J12" sqref="J12"/>
    </sheetView>
  </sheetViews>
  <sheetFormatPr defaultRowHeight="14.5" x14ac:dyDescent="0.35"/>
  <cols>
    <col min="1" max="1" width="8.54296875" bestFit="1" customWidth="1"/>
    <col min="2" max="2" width="10.36328125" bestFit="1" customWidth="1"/>
    <col min="3" max="3" width="6.81640625" bestFit="1" customWidth="1"/>
    <col min="4" max="4" width="11" bestFit="1" customWidth="1"/>
    <col min="5" max="5" width="7.6328125" bestFit="1" customWidth="1"/>
    <col min="6" max="6" width="9.90625" bestFit="1" customWidth="1"/>
    <col min="7" max="7" width="8.36328125" bestFit="1" customWidth="1"/>
    <col min="8" max="8" width="9.6328125" bestFit="1" customWidth="1"/>
    <col min="9" max="9" width="10.453125" bestFit="1" customWidth="1"/>
  </cols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14" x14ac:dyDescent="0.35">
      <c r="A2" s="2">
        <v>1001</v>
      </c>
      <c r="B2" s="3">
        <v>45296</v>
      </c>
      <c r="C2" s="2" t="s">
        <v>9</v>
      </c>
      <c r="D2" s="2" t="s">
        <v>10</v>
      </c>
      <c r="E2" s="2" t="s">
        <v>11</v>
      </c>
      <c r="F2" s="2" t="s">
        <v>12</v>
      </c>
      <c r="G2" s="2">
        <v>2</v>
      </c>
      <c r="H2" s="2">
        <v>50000</v>
      </c>
      <c r="I2" s="2">
        <v>100000</v>
      </c>
    </row>
    <row r="3" spans="1:14" x14ac:dyDescent="0.35">
      <c r="A3" s="2">
        <v>1002</v>
      </c>
      <c r="B3" s="3">
        <v>45299</v>
      </c>
      <c r="C3" s="2" t="s">
        <v>13</v>
      </c>
      <c r="D3" s="2" t="s">
        <v>14</v>
      </c>
      <c r="E3" s="2" t="s">
        <v>15</v>
      </c>
      <c r="F3" s="2" t="s">
        <v>12</v>
      </c>
      <c r="G3" s="2">
        <v>5</v>
      </c>
      <c r="H3" s="2">
        <v>20000</v>
      </c>
      <c r="I3" s="2">
        <v>100000</v>
      </c>
    </row>
    <row r="4" spans="1:14" x14ac:dyDescent="0.35">
      <c r="A4" s="2">
        <v>1003</v>
      </c>
      <c r="B4" s="3">
        <v>45303</v>
      </c>
      <c r="C4" s="2" t="s">
        <v>16</v>
      </c>
      <c r="D4" s="2" t="s">
        <v>17</v>
      </c>
      <c r="E4" s="2" t="s">
        <v>18</v>
      </c>
      <c r="F4" s="2" t="s">
        <v>19</v>
      </c>
      <c r="G4" s="2">
        <v>10</v>
      </c>
      <c r="H4" s="2">
        <v>3000</v>
      </c>
      <c r="I4" s="2">
        <v>30000</v>
      </c>
      <c r="K4" s="5" t="s">
        <v>38</v>
      </c>
      <c r="L4" s="5"/>
      <c r="M4" s="5"/>
      <c r="N4" s="5"/>
    </row>
    <row r="5" spans="1:14" x14ac:dyDescent="0.35">
      <c r="A5" s="2">
        <v>1004</v>
      </c>
      <c r="B5" s="3">
        <v>45306</v>
      </c>
      <c r="C5" s="2" t="s">
        <v>20</v>
      </c>
      <c r="D5" s="2" t="s">
        <v>21</v>
      </c>
      <c r="E5" s="2" t="s">
        <v>22</v>
      </c>
      <c r="F5" s="2" t="s">
        <v>19</v>
      </c>
      <c r="G5" s="2">
        <v>3</v>
      </c>
      <c r="H5" s="2">
        <v>7000</v>
      </c>
      <c r="I5" s="2">
        <v>21000</v>
      </c>
    </row>
    <row r="6" spans="1:14" x14ac:dyDescent="0.35">
      <c r="A6" s="2">
        <v>1005</v>
      </c>
      <c r="B6" s="3">
        <v>45309</v>
      </c>
      <c r="C6" s="2" t="s">
        <v>9</v>
      </c>
      <c r="D6" s="2" t="s">
        <v>10</v>
      </c>
      <c r="E6" s="2" t="s">
        <v>15</v>
      </c>
      <c r="F6" s="2" t="s">
        <v>12</v>
      </c>
      <c r="G6" s="2">
        <v>4</v>
      </c>
      <c r="H6" s="2">
        <v>20000</v>
      </c>
      <c r="I6" s="2">
        <v>80000</v>
      </c>
    </row>
    <row r="7" spans="1:14" x14ac:dyDescent="0.35">
      <c r="A7" s="2">
        <v>1006</v>
      </c>
      <c r="B7" s="3">
        <v>45311</v>
      </c>
      <c r="C7" s="2" t="s">
        <v>13</v>
      </c>
      <c r="D7" s="2" t="s">
        <v>14</v>
      </c>
      <c r="E7" s="2" t="s">
        <v>11</v>
      </c>
      <c r="F7" s="2" t="s">
        <v>12</v>
      </c>
      <c r="G7" s="2">
        <v>1</v>
      </c>
      <c r="H7" s="2">
        <v>50000</v>
      </c>
      <c r="I7" s="2">
        <v>50000</v>
      </c>
    </row>
    <row r="8" spans="1:14" x14ac:dyDescent="0.35">
      <c r="A8" s="2">
        <v>1007</v>
      </c>
      <c r="B8" s="3">
        <v>45316</v>
      </c>
      <c r="C8" s="2" t="s">
        <v>16</v>
      </c>
      <c r="D8" s="2" t="s">
        <v>17</v>
      </c>
      <c r="E8" s="2" t="s">
        <v>23</v>
      </c>
      <c r="F8" s="2" t="s">
        <v>19</v>
      </c>
      <c r="G8" s="2">
        <v>2</v>
      </c>
      <c r="H8" s="2">
        <v>10000</v>
      </c>
      <c r="I8" s="2">
        <v>20000</v>
      </c>
    </row>
    <row r="9" spans="1:14" x14ac:dyDescent="0.35">
      <c r="A9" s="2">
        <v>1008</v>
      </c>
      <c r="B9" s="3">
        <v>45319</v>
      </c>
      <c r="C9" s="2" t="s">
        <v>20</v>
      </c>
      <c r="D9" s="2" t="s">
        <v>21</v>
      </c>
      <c r="E9" s="2" t="s">
        <v>15</v>
      </c>
      <c r="F9" s="2" t="s">
        <v>12</v>
      </c>
      <c r="G9" s="2">
        <v>6</v>
      </c>
      <c r="H9" s="2">
        <v>20000</v>
      </c>
      <c r="I9" s="2">
        <v>120000</v>
      </c>
    </row>
    <row r="10" spans="1:14" x14ac:dyDescent="0.35">
      <c r="A10" s="2">
        <v>1009</v>
      </c>
      <c r="B10" s="3">
        <v>45324</v>
      </c>
      <c r="C10" s="2" t="s">
        <v>9</v>
      </c>
      <c r="D10" s="2" t="s">
        <v>10</v>
      </c>
      <c r="E10" s="2" t="s">
        <v>22</v>
      </c>
      <c r="F10" s="2" t="s">
        <v>19</v>
      </c>
      <c r="G10" s="2">
        <v>5</v>
      </c>
      <c r="H10" s="2">
        <v>7000</v>
      </c>
      <c r="I10" s="2">
        <v>35000</v>
      </c>
    </row>
    <row r="11" spans="1:14" x14ac:dyDescent="0.35">
      <c r="A11" s="2">
        <v>1010</v>
      </c>
      <c r="B11" s="3">
        <v>45327</v>
      </c>
      <c r="C11" s="2" t="s">
        <v>13</v>
      </c>
      <c r="D11" s="2" t="s">
        <v>14</v>
      </c>
      <c r="E11" s="2" t="s">
        <v>18</v>
      </c>
      <c r="F11" s="2" t="s">
        <v>19</v>
      </c>
      <c r="G11" s="2">
        <v>7</v>
      </c>
      <c r="H11" s="2">
        <v>3000</v>
      </c>
      <c r="I11" s="2">
        <v>21000</v>
      </c>
    </row>
    <row r="18" spans="11:12" x14ac:dyDescent="0.35">
      <c r="K18" s="4"/>
      <c r="L18" s="4" t="s">
        <v>40</v>
      </c>
    </row>
    <row r="19" spans="11:12" x14ac:dyDescent="0.35">
      <c r="K19" s="4"/>
      <c r="L19" s="4" t="s">
        <v>41</v>
      </c>
    </row>
    <row r="20" spans="11:12" x14ac:dyDescent="0.35">
      <c r="K20" s="4"/>
    </row>
    <row r="21" spans="11:12" x14ac:dyDescent="0.35">
      <c r="K21" s="4"/>
    </row>
  </sheetData>
  <mergeCells count="1">
    <mergeCell ref="K4:N4"/>
  </mergeCells>
  <conditionalFormatting sqref="G2:G11">
    <cfRule type="cellIs" dxfId="3" priority="1" operator="lessThan">
      <formula>3</formula>
    </cfRule>
  </conditionalFormatting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E8970E-9F99-4DDF-B867-484067A23D64}">
  <dimension ref="A1:P21"/>
  <sheetViews>
    <sheetView tabSelected="1" workbookViewId="0">
      <selection activeCell="F13" sqref="F13"/>
    </sheetView>
  </sheetViews>
  <sheetFormatPr defaultRowHeight="14.5" x14ac:dyDescent="0.35"/>
  <cols>
    <col min="1" max="1" width="8.54296875" bestFit="1" customWidth="1"/>
    <col min="2" max="2" width="10.36328125" bestFit="1" customWidth="1"/>
    <col min="3" max="3" width="6.81640625" bestFit="1" customWidth="1"/>
    <col min="4" max="4" width="11" bestFit="1" customWidth="1"/>
    <col min="5" max="5" width="7.6328125" bestFit="1" customWidth="1"/>
    <col min="6" max="6" width="9.90625" bestFit="1" customWidth="1"/>
    <col min="7" max="7" width="8.36328125" bestFit="1" customWidth="1"/>
    <col min="8" max="8" width="9.6328125" bestFit="1" customWidth="1"/>
    <col min="9" max="9" width="10.453125" bestFit="1" customWidth="1"/>
  </cols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16" x14ac:dyDescent="0.35">
      <c r="A2" s="2">
        <v>1001</v>
      </c>
      <c r="B2" s="3">
        <v>45296</v>
      </c>
      <c r="C2" s="2" t="s">
        <v>9</v>
      </c>
      <c r="D2" s="2" t="s">
        <v>10</v>
      </c>
      <c r="E2" s="2" t="s">
        <v>11</v>
      </c>
      <c r="F2" s="2" t="s">
        <v>12</v>
      </c>
      <c r="G2" s="2">
        <v>2</v>
      </c>
      <c r="H2" s="2">
        <v>50000</v>
      </c>
      <c r="I2" s="2">
        <v>100000</v>
      </c>
    </row>
    <row r="3" spans="1:16" x14ac:dyDescent="0.35">
      <c r="A3" s="2">
        <v>1002</v>
      </c>
      <c r="B3" s="3">
        <v>45299</v>
      </c>
      <c r="C3" s="2" t="s">
        <v>13</v>
      </c>
      <c r="D3" s="2" t="s">
        <v>14</v>
      </c>
      <c r="E3" s="2" t="s">
        <v>15</v>
      </c>
      <c r="F3" s="2" t="s">
        <v>12</v>
      </c>
      <c r="G3" s="2">
        <v>5</v>
      </c>
      <c r="H3" s="2">
        <v>20000</v>
      </c>
      <c r="I3" s="2">
        <v>100000</v>
      </c>
    </row>
    <row r="4" spans="1:16" x14ac:dyDescent="0.35">
      <c r="A4" s="2">
        <v>1003</v>
      </c>
      <c r="B4" s="3">
        <v>45303</v>
      </c>
      <c r="C4" s="2" t="s">
        <v>16</v>
      </c>
      <c r="D4" s="2" t="s">
        <v>17</v>
      </c>
      <c r="E4" s="2" t="s">
        <v>18</v>
      </c>
      <c r="F4" s="2" t="s">
        <v>19</v>
      </c>
      <c r="G4" s="2">
        <v>10</v>
      </c>
      <c r="H4" s="2">
        <v>3000</v>
      </c>
      <c r="I4" s="2">
        <v>30000</v>
      </c>
      <c r="L4" s="10" t="s">
        <v>52</v>
      </c>
      <c r="M4" s="11"/>
      <c r="N4" s="11"/>
      <c r="O4" s="11"/>
      <c r="P4" s="11"/>
    </row>
    <row r="5" spans="1:16" x14ac:dyDescent="0.35">
      <c r="A5" s="2">
        <v>1004</v>
      </c>
      <c r="B5" s="3">
        <v>45306</v>
      </c>
      <c r="C5" s="2" t="s">
        <v>20</v>
      </c>
      <c r="D5" s="2" t="s">
        <v>21</v>
      </c>
      <c r="E5" s="2" t="s">
        <v>22</v>
      </c>
      <c r="F5" s="2" t="s">
        <v>19</v>
      </c>
      <c r="G5" s="2">
        <v>3</v>
      </c>
      <c r="H5" s="2">
        <v>7000</v>
      </c>
      <c r="I5" s="2">
        <v>21000</v>
      </c>
      <c r="L5" s="11"/>
      <c r="M5" s="11"/>
      <c r="N5" s="11"/>
      <c r="O5" s="11"/>
      <c r="P5" s="11"/>
    </row>
    <row r="6" spans="1:16" x14ac:dyDescent="0.35">
      <c r="A6" s="2">
        <v>1005</v>
      </c>
      <c r="B6" s="3">
        <v>45309</v>
      </c>
      <c r="C6" s="2" t="s">
        <v>9</v>
      </c>
      <c r="D6" s="2" t="s">
        <v>10</v>
      </c>
      <c r="E6" s="2" t="s">
        <v>15</v>
      </c>
      <c r="F6" s="2" t="s">
        <v>12</v>
      </c>
      <c r="G6" s="2">
        <v>4</v>
      </c>
      <c r="H6" s="2">
        <v>20000</v>
      </c>
      <c r="I6" s="2">
        <v>80000</v>
      </c>
      <c r="L6" s="11"/>
      <c r="M6" s="11"/>
      <c r="N6" s="11"/>
      <c r="O6" s="11"/>
      <c r="P6" s="11"/>
    </row>
    <row r="7" spans="1:16" x14ac:dyDescent="0.35">
      <c r="A7" s="2">
        <v>1006</v>
      </c>
      <c r="B7" s="3">
        <v>45311</v>
      </c>
      <c r="C7" s="2" t="s">
        <v>13</v>
      </c>
      <c r="D7" s="2" t="s">
        <v>14</v>
      </c>
      <c r="E7" s="2" t="s">
        <v>11</v>
      </c>
      <c r="F7" s="2" t="s">
        <v>12</v>
      </c>
      <c r="G7" s="2">
        <v>1</v>
      </c>
      <c r="H7" s="2">
        <v>50000</v>
      </c>
      <c r="I7" s="2">
        <v>50000</v>
      </c>
    </row>
    <row r="8" spans="1:16" x14ac:dyDescent="0.35">
      <c r="A8" s="2">
        <v>1007</v>
      </c>
      <c r="B8" s="3">
        <v>45316</v>
      </c>
      <c r="C8" s="2" t="s">
        <v>16</v>
      </c>
      <c r="D8" s="2" t="s">
        <v>17</v>
      </c>
      <c r="E8" s="2" t="s">
        <v>23</v>
      </c>
      <c r="F8" s="2" t="s">
        <v>19</v>
      </c>
      <c r="G8" s="2">
        <v>2</v>
      </c>
      <c r="H8" s="2">
        <v>10000</v>
      </c>
      <c r="I8" s="2">
        <v>20000</v>
      </c>
    </row>
    <row r="9" spans="1:16" x14ac:dyDescent="0.35">
      <c r="A9" s="2">
        <v>1008</v>
      </c>
      <c r="B9" s="3">
        <v>45319</v>
      </c>
      <c r="C9" s="2" t="s">
        <v>20</v>
      </c>
      <c r="D9" s="2" t="s">
        <v>21</v>
      </c>
      <c r="E9" s="2" t="s">
        <v>15</v>
      </c>
      <c r="F9" s="2" t="s">
        <v>12</v>
      </c>
      <c r="G9" s="2">
        <v>6</v>
      </c>
      <c r="H9" s="2">
        <v>20000</v>
      </c>
      <c r="I9" s="2">
        <v>120000</v>
      </c>
    </row>
    <row r="10" spans="1:16" x14ac:dyDescent="0.35">
      <c r="A10" s="2">
        <v>1009</v>
      </c>
      <c r="B10" s="3">
        <v>45324</v>
      </c>
      <c r="C10" s="2" t="s">
        <v>9</v>
      </c>
      <c r="D10" s="2" t="s">
        <v>10</v>
      </c>
      <c r="E10" s="2" t="s">
        <v>22</v>
      </c>
      <c r="F10" s="2" t="s">
        <v>19</v>
      </c>
      <c r="G10" s="2">
        <v>5</v>
      </c>
      <c r="H10" s="2">
        <v>7000</v>
      </c>
      <c r="I10" s="2">
        <v>35000</v>
      </c>
    </row>
    <row r="11" spans="1:16" x14ac:dyDescent="0.35">
      <c r="A11" s="2">
        <v>1010</v>
      </c>
      <c r="B11" s="3">
        <v>45327</v>
      </c>
      <c r="C11" s="2" t="s">
        <v>13</v>
      </c>
      <c r="D11" s="2" t="s">
        <v>14</v>
      </c>
      <c r="E11" s="2" t="s">
        <v>18</v>
      </c>
      <c r="F11" s="2" t="s">
        <v>19</v>
      </c>
      <c r="G11" s="2">
        <v>7</v>
      </c>
      <c r="H11" s="2">
        <v>3000</v>
      </c>
      <c r="I11" s="2">
        <v>21000</v>
      </c>
    </row>
    <row r="13" spans="1:16" x14ac:dyDescent="0.35">
      <c r="F13">
        <f>COUNTIFS(F2:F11,F2,G2:G11,"&gt;3")</f>
        <v>3</v>
      </c>
    </row>
    <row r="18" spans="11:12" x14ac:dyDescent="0.35">
      <c r="K18" s="4"/>
      <c r="L18" s="4" t="s">
        <v>40</v>
      </c>
    </row>
    <row r="19" spans="11:12" x14ac:dyDescent="0.35">
      <c r="K19" s="4"/>
      <c r="L19" s="4" t="s">
        <v>41</v>
      </c>
    </row>
    <row r="20" spans="11:12" x14ac:dyDescent="0.35">
      <c r="K20" s="4"/>
    </row>
    <row r="21" spans="11:12" x14ac:dyDescent="0.35">
      <c r="K21" s="4"/>
    </row>
  </sheetData>
  <mergeCells count="1">
    <mergeCell ref="L4:P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Sheet1</vt:lpstr>
      <vt:lpstr>Q1</vt:lpstr>
      <vt:lpstr>Q2</vt:lpstr>
      <vt:lpstr>Q3</vt:lpstr>
      <vt:lpstr>Q4</vt:lpstr>
      <vt:lpstr>Q5</vt:lpstr>
      <vt:lpstr>Q6</vt:lpstr>
      <vt:lpstr>Q7</vt:lpstr>
      <vt:lpstr>Q8</vt:lpstr>
      <vt:lpstr>Q9</vt:lpstr>
      <vt:lpstr>Q10</vt:lpstr>
      <vt:lpstr>Q11</vt:lpstr>
      <vt:lpstr>Q12</vt:lpstr>
      <vt:lpstr>Q13</vt:lpstr>
      <vt:lpstr>Q14</vt:lpstr>
      <vt:lpstr>Q15</vt:lpstr>
      <vt:lpstr>Q16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Tandra Paul</dc:creator>
  <cp:lastModifiedBy>Amit Bikram Mishra</cp:lastModifiedBy>
  <dcterms:created xsi:type="dcterms:W3CDTF">2026-03-04T02:35:16Z</dcterms:created>
  <dcterms:modified xsi:type="dcterms:W3CDTF">2026-03-04T08:03:37Z</dcterms:modified>
</cp:coreProperties>
</file>