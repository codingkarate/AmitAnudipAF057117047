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MIT\Desktop\ANUDIP\AmitAnudipAF057117047\Lab Work\"/>
    </mc:Choice>
  </mc:AlternateContent>
  <xr:revisionPtr revIDLastSave="0" documentId="13_ncr:1_{2C083D46-8015-4F44-837B-64ED4AEE86D4}" xr6:coauthVersionLast="47" xr6:coauthVersionMax="47" xr10:uidLastSave="{00000000-0000-0000-0000-000000000000}"/>
  <bookViews>
    <workbookView xWindow="-110" yWindow="-110" windowWidth="19420" windowHeight="10300" xr2:uid="{00000000-000D-0000-FFFF-FFFF00000000}"/>
  </bookViews>
  <sheets>
    <sheet name="Products" sheetId="1" r:id="rId1"/>
    <sheet name="Order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2" i="1"/>
  <c r="G10" i="2"/>
  <c r="G3" i="2"/>
  <c r="G4" i="2"/>
  <c r="G5" i="2"/>
  <c r="G6" i="2"/>
  <c r="G7" i="2"/>
  <c r="G2" i="2"/>
  <c r="F3" i="2"/>
  <c r="F4" i="2"/>
  <c r="F5" i="2"/>
  <c r="F6" i="2"/>
  <c r="F7" i="2"/>
  <c r="F2" i="2"/>
  <c r="H3" i="2"/>
  <c r="H4" i="2"/>
  <c r="H5" i="2"/>
  <c r="H6" i="2"/>
  <c r="H7" i="2"/>
  <c r="H8" i="2"/>
  <c r="H2" i="2"/>
  <c r="E3" i="2"/>
  <c r="E4" i="2"/>
  <c r="E5" i="2"/>
  <c r="E6" i="2"/>
  <c r="E7" i="2"/>
  <c r="E2" i="2"/>
  <c r="C3" i="2"/>
  <c r="C4" i="2"/>
  <c r="C5" i="2"/>
  <c r="C6" i="2"/>
  <c r="C7" i="2"/>
  <c r="C2" i="2"/>
  <c r="F8" i="2"/>
</calcChain>
</file>

<file path=xl/sharedStrings.xml><?xml version="1.0" encoding="utf-8"?>
<sst xmlns="http://schemas.openxmlformats.org/spreadsheetml/2006/main" count="21" uniqueCount="20">
  <si>
    <t>ProductID</t>
  </si>
  <si>
    <t>Product</t>
  </si>
  <si>
    <t>Price</t>
  </si>
  <si>
    <t>Product A</t>
  </si>
  <si>
    <t>Product B</t>
  </si>
  <si>
    <t>Product C</t>
  </si>
  <si>
    <t>Product D</t>
  </si>
  <si>
    <t>Product E</t>
  </si>
  <si>
    <t>Product F</t>
  </si>
  <si>
    <t>OrderID</t>
  </si>
  <si>
    <t>Quantity</t>
  </si>
  <si>
    <t>TotalPrice</t>
  </si>
  <si>
    <t>1. Use VLOOKUP to find the product names for each ProductID in the Orders worksheet.
2. Use VLOOKUP to find the price for each ProductID in the Orders worksheet, then calculate the TotalPrice by multiplying the Quantity by the Product Price.
3. Use VLOOKUP to check if there are any ProductIDs in the Orders worksheet that do not exist in the Products worksheet.
4. Assume a discount of 10% is given on all products. Use VLOOKUP to find the original price and then calculate the discounted price.
5. Use VLOOKUP to find the price for each ProductID and then calculate the order value. Find the maximum order value from the list.
6. Use VLOOKUP to find out which products from the Products worksheet have not been ordered.
7. Use VLOOKUP to find the Product name and summarize the total quantity sold for each product.</t>
  </si>
  <si>
    <t>ProductName</t>
  </si>
  <si>
    <t>Unit Price</t>
  </si>
  <si>
    <t>Prod pres/not</t>
  </si>
  <si>
    <t>Disc Price</t>
  </si>
  <si>
    <t>MaxValue-&gt;</t>
  </si>
  <si>
    <t>Product H</t>
  </si>
  <si>
    <t>Ord/Not 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</si>
</sst>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0" fillId="0" borderId="1" xfId="0" applyBorder="1"/>
    <xf numFmtId="0" fontId="0" fillId="0" borderId="1" xfId="0" applyBorder="1" applyAlignment="1">
      <alignment horizontal="left"/>
    </xf>
    <xf numFmtId="0" fontId="0" fillId="0" borderId="1" xfId="0" applyBorder="1" applyAlignment="1">
      <alignment horizontal="left" vertical="center"/>
    </xf>
    <xf numFmtId="0" fontId="1" fillId="2" borderId="1" xfId="0" applyFont="1" applyFill="1" applyBorder="1" applyAlignment="1">
      <alignment horizontal="left" vertical="center"/>
    </xf>
    <xf numFmtId="0" fontId="0" fillId="0" borderId="0" xfId="0" applyAlignment="1">
      <alignment horizontal="left"/>
    </xf>
    <xf numFmtId="0" fontId="1" fillId="3" borderId="0" xfId="0" applyFont="1" applyFill="1"/>
    <xf numFmtId="0" fontId="1" fillId="3" borderId="0" xfId="0" applyFont="1" applyFill="1" applyAlignment="1">
      <alignment horizontal="left" vertical="center"/>
    </xf>
    <xf numFmtId="0" fontId="0" fillId="0" borderId="0" xfId="0" applyAlignment="1">
      <alignment horizontal="left" vertical="center"/>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0" xfId="0"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1" fillId="2" borderId="1" xfId="0" applyFont="1" applyFill="1" applyBorder="1" applyAlignment="1">
      <alignment horizontal="center" vertical="center"/>
    </xf>
    <xf numFmtId="0" fontId="0" fillId="0" borderId="1" xfId="0" applyFill="1" applyBorder="1" applyAlignment="1">
      <alignment horizontal="left"/>
    </xf>
    <xf numFmtId="0" fontId="0" fillId="0" borderId="1" xfId="0"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tabSelected="1" workbookViewId="0">
      <selection activeCell="F2" sqref="F2:P12"/>
    </sheetView>
  </sheetViews>
  <sheetFormatPr defaultRowHeight="14.5" x14ac:dyDescent="0.35"/>
  <cols>
    <col min="1" max="1" width="13.08984375" customWidth="1"/>
    <col min="2" max="2" width="11.08984375" customWidth="1"/>
    <col min="3" max="3" width="9.1796875" customWidth="1"/>
    <col min="4" max="4" width="11.54296875" customWidth="1"/>
    <col min="5" max="5" width="10.08984375" customWidth="1"/>
    <col min="6" max="6" width="12.7265625" customWidth="1"/>
  </cols>
  <sheetData>
    <row r="1" spans="1:16" ht="15" thickBot="1" x14ac:dyDescent="0.4">
      <c r="A1" s="4" t="s">
        <v>0</v>
      </c>
      <c r="B1" s="4" t="s">
        <v>1</v>
      </c>
      <c r="C1" s="4" t="s">
        <v>2</v>
      </c>
      <c r="D1" s="4" t="s">
        <v>19</v>
      </c>
    </row>
    <row r="2" spans="1:16" ht="14.5" customHeight="1" x14ac:dyDescent="0.35">
      <c r="A2" s="3">
        <v>101</v>
      </c>
      <c r="B2" s="3" t="s">
        <v>3</v>
      </c>
      <c r="C2" s="3">
        <v>120</v>
      </c>
      <c r="D2" s="1" t="str">
        <f>IF(ISNA(VLOOKUP(A2,Orders!$B$1:$C$7,1,FALSE)),"NotOrdered","Ordered")</f>
        <v>Ordered</v>
      </c>
      <c r="F2" s="9" t="s">
        <v>12</v>
      </c>
      <c r="G2" s="10"/>
      <c r="H2" s="10"/>
      <c r="I2" s="10"/>
      <c r="J2" s="10"/>
      <c r="K2" s="10"/>
      <c r="L2" s="10"/>
      <c r="M2" s="10"/>
      <c r="N2" s="10"/>
      <c r="O2" s="10"/>
      <c r="P2" s="11"/>
    </row>
    <row r="3" spans="1:16" x14ac:dyDescent="0.35">
      <c r="A3" s="3">
        <v>102</v>
      </c>
      <c r="B3" s="3" t="s">
        <v>4</v>
      </c>
      <c r="C3" s="3">
        <v>150</v>
      </c>
      <c r="D3" s="1" t="str">
        <f>IF(ISNA(VLOOKUP(A3,Orders!$B$1:$C$7,1,FALSE)),"NotOrdered","Ordered")</f>
        <v>Ordered</v>
      </c>
      <c r="F3" s="12"/>
      <c r="G3" s="13"/>
      <c r="H3" s="13"/>
      <c r="I3" s="13"/>
      <c r="J3" s="13"/>
      <c r="K3" s="13"/>
      <c r="L3" s="13"/>
      <c r="M3" s="13"/>
      <c r="N3" s="13"/>
      <c r="O3" s="13"/>
      <c r="P3" s="14"/>
    </row>
    <row r="4" spans="1:16" x14ac:dyDescent="0.35">
      <c r="A4" s="3">
        <v>103</v>
      </c>
      <c r="B4" s="3" t="s">
        <v>5</v>
      </c>
      <c r="C4" s="3">
        <v>200</v>
      </c>
      <c r="D4" s="1" t="str">
        <f>IF(ISNA(VLOOKUP(A4,Orders!$B$1:$C$7,1,FALSE)),"NotOrdered","Ordered")</f>
        <v>Ordered</v>
      </c>
      <c r="F4" s="12"/>
      <c r="G4" s="13"/>
      <c r="H4" s="13"/>
      <c r="I4" s="13"/>
      <c r="J4" s="13"/>
      <c r="K4" s="13"/>
      <c r="L4" s="13"/>
      <c r="M4" s="13"/>
      <c r="N4" s="13"/>
      <c r="O4" s="13"/>
      <c r="P4" s="14"/>
    </row>
    <row r="5" spans="1:16" x14ac:dyDescent="0.35">
      <c r="A5" s="3">
        <v>104</v>
      </c>
      <c r="B5" s="3" t="s">
        <v>6</v>
      </c>
      <c r="C5" s="3">
        <v>90</v>
      </c>
      <c r="D5" s="1" t="str">
        <f>IF(ISNA(VLOOKUP(A5,Orders!$B$1:$C$7,1,FALSE)),"NotOrdered","Ordered")</f>
        <v>Ordered</v>
      </c>
      <c r="F5" s="12"/>
      <c r="G5" s="13"/>
      <c r="H5" s="13"/>
      <c r="I5" s="13"/>
      <c r="J5" s="13"/>
      <c r="K5" s="13"/>
      <c r="L5" s="13"/>
      <c r="M5" s="13"/>
      <c r="N5" s="13"/>
      <c r="O5" s="13"/>
      <c r="P5" s="14"/>
    </row>
    <row r="6" spans="1:16" x14ac:dyDescent="0.35">
      <c r="A6" s="3">
        <v>105</v>
      </c>
      <c r="B6" s="3" t="s">
        <v>7</v>
      </c>
      <c r="C6" s="3">
        <v>220</v>
      </c>
      <c r="D6" s="1" t="str">
        <f>IF(ISNA(VLOOKUP(A6,Orders!$B$1:$C$7,1,FALSE)),"NotOrdered","Ordered")</f>
        <v>Ordered</v>
      </c>
      <c r="F6" s="12"/>
      <c r="G6" s="13"/>
      <c r="H6" s="13"/>
      <c r="I6" s="13"/>
      <c r="J6" s="13"/>
      <c r="K6" s="13"/>
      <c r="L6" s="13"/>
      <c r="M6" s="13"/>
      <c r="N6" s="13"/>
      <c r="O6" s="13"/>
      <c r="P6" s="14"/>
    </row>
    <row r="7" spans="1:16" x14ac:dyDescent="0.35">
      <c r="A7" s="3">
        <v>106</v>
      </c>
      <c r="B7" s="3" t="s">
        <v>8</v>
      </c>
      <c r="C7" s="3">
        <v>130</v>
      </c>
      <c r="D7" s="1" t="str">
        <f>IF(ISNA(VLOOKUP(A7,Orders!$B$1:$C$7,1,FALSE)),"NotOrdered","Ordered")</f>
        <v>Ordered</v>
      </c>
      <c r="F7" s="12"/>
      <c r="G7" s="13"/>
      <c r="H7" s="13"/>
      <c r="I7" s="13"/>
      <c r="J7" s="13"/>
      <c r="K7" s="13"/>
      <c r="L7" s="13"/>
      <c r="M7" s="13"/>
      <c r="N7" s="13"/>
      <c r="O7" s="13"/>
      <c r="P7" s="14"/>
    </row>
    <row r="8" spans="1:16" x14ac:dyDescent="0.35">
      <c r="A8" s="20">
        <v>108</v>
      </c>
      <c r="B8" s="20" t="s">
        <v>18</v>
      </c>
      <c r="C8" s="20">
        <v>110</v>
      </c>
      <c r="D8" s="1" t="str">
        <f>IF(ISNA(VLOOKUP(A8,Orders!$B$1:$C$7,1,FALSE)),"NotOrdered","Ordered")</f>
        <v>NotOrdered</v>
      </c>
      <c r="F8" s="12"/>
      <c r="G8" s="13"/>
      <c r="H8" s="13"/>
      <c r="I8" s="13"/>
      <c r="J8" s="13"/>
      <c r="K8" s="13"/>
      <c r="L8" s="13"/>
      <c r="M8" s="13"/>
      <c r="N8" s="13"/>
      <c r="O8" s="13"/>
      <c r="P8" s="14"/>
    </row>
    <row r="9" spans="1:16" x14ac:dyDescent="0.35">
      <c r="F9" s="12"/>
      <c r="G9" s="13"/>
      <c r="H9" s="13"/>
      <c r="I9" s="13"/>
      <c r="J9" s="13"/>
      <c r="K9" s="13"/>
      <c r="L9" s="13"/>
      <c r="M9" s="13"/>
      <c r="N9" s="13"/>
      <c r="O9" s="13"/>
      <c r="P9" s="14"/>
    </row>
    <row r="10" spans="1:16" x14ac:dyDescent="0.35">
      <c r="A10" s="6"/>
      <c r="B10" s="7"/>
      <c r="C10" s="6"/>
      <c r="D10" s="6"/>
      <c r="E10" s="6"/>
      <c r="F10" s="12"/>
      <c r="G10" s="13"/>
      <c r="H10" s="13"/>
      <c r="I10" s="13"/>
      <c r="J10" s="13"/>
      <c r="K10" s="13"/>
      <c r="L10" s="13"/>
      <c r="M10" s="13"/>
      <c r="N10" s="13"/>
      <c r="O10" s="13"/>
      <c r="P10" s="14"/>
    </row>
    <row r="11" spans="1:16" x14ac:dyDescent="0.35">
      <c r="A11" s="8"/>
      <c r="B11" s="8"/>
      <c r="C11" s="5"/>
      <c r="D11" s="5"/>
      <c r="E11" s="5"/>
      <c r="F11" s="12"/>
      <c r="G11" s="13"/>
      <c r="H11" s="13"/>
      <c r="I11" s="13"/>
      <c r="J11" s="13"/>
      <c r="K11" s="13"/>
      <c r="L11" s="13"/>
      <c r="M11" s="13"/>
      <c r="N11" s="13"/>
      <c r="O11" s="13"/>
      <c r="P11" s="14"/>
    </row>
    <row r="12" spans="1:16" ht="15" thickBot="1" x14ac:dyDescent="0.4">
      <c r="A12" s="8"/>
      <c r="B12" s="8"/>
      <c r="C12" s="5"/>
      <c r="D12" s="5"/>
      <c r="E12" s="5"/>
      <c r="F12" s="15"/>
      <c r="G12" s="16"/>
      <c r="H12" s="16"/>
      <c r="I12" s="16"/>
      <c r="J12" s="16"/>
      <c r="K12" s="16"/>
      <c r="L12" s="16"/>
      <c r="M12" s="16"/>
      <c r="N12" s="16"/>
      <c r="O12" s="16"/>
      <c r="P12" s="17"/>
    </row>
  </sheetData>
  <mergeCells count="1">
    <mergeCell ref="F2:P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2124-E2E5-430D-B614-DB27DE07094A}">
  <dimension ref="A1:H10"/>
  <sheetViews>
    <sheetView workbookViewId="0">
      <selection activeCell="H2" sqref="H2"/>
    </sheetView>
  </sheetViews>
  <sheetFormatPr defaultRowHeight="14.5" x14ac:dyDescent="0.35"/>
  <cols>
    <col min="1" max="1" width="10.6328125" customWidth="1"/>
    <col min="2" max="2" width="10.453125" customWidth="1"/>
    <col min="3" max="3" width="14.26953125" customWidth="1"/>
    <col min="4" max="7" width="10.453125" customWidth="1"/>
    <col min="8" max="8" width="14.453125" customWidth="1"/>
  </cols>
  <sheetData>
    <row r="1" spans="1:8" x14ac:dyDescent="0.35">
      <c r="A1" s="18" t="s">
        <v>9</v>
      </c>
      <c r="B1" s="18" t="s">
        <v>0</v>
      </c>
      <c r="C1" s="18" t="s">
        <v>13</v>
      </c>
      <c r="D1" s="18" t="s">
        <v>10</v>
      </c>
      <c r="E1" s="18" t="s">
        <v>14</v>
      </c>
      <c r="F1" s="18" t="s">
        <v>16</v>
      </c>
      <c r="G1" s="18" t="s">
        <v>11</v>
      </c>
      <c r="H1" s="18" t="s">
        <v>15</v>
      </c>
    </row>
    <row r="2" spans="1:8" x14ac:dyDescent="0.35">
      <c r="A2" s="2">
        <v>1</v>
      </c>
      <c r="B2" s="2">
        <v>101</v>
      </c>
      <c r="C2" s="2" t="str">
        <f>VLOOKUP(Orders!B2,Products!$A$2:$C$7,2,FALSE)</f>
        <v>Product A</v>
      </c>
      <c r="D2" s="2">
        <v>2</v>
      </c>
      <c r="E2" s="2">
        <f>VLOOKUP(B2,Products!$A$2:$C$7,3,FALSE)</f>
        <v>120</v>
      </c>
      <c r="F2" s="2">
        <f>E2-(E2/10)</f>
        <v>108</v>
      </c>
      <c r="G2" s="2">
        <f>F2*D2</f>
        <v>216</v>
      </c>
      <c r="H2" s="2" t="str">
        <f>IF(ISNA(VLOOKUP(B2,Products!$A$1:$A$7,1,FALSE)),"no","YES")</f>
        <v>YES</v>
      </c>
    </row>
    <row r="3" spans="1:8" x14ac:dyDescent="0.35">
      <c r="A3" s="2">
        <v>2</v>
      </c>
      <c r="B3" s="2">
        <v>103</v>
      </c>
      <c r="C3" s="2" t="str">
        <f>VLOOKUP(Orders!B3,Products!$A$2:$C$7,2,FALSE)</f>
        <v>Product C</v>
      </c>
      <c r="D3" s="2">
        <v>1</v>
      </c>
      <c r="E3" s="2">
        <f>VLOOKUP(B3,Products!$A$2:$C$7,3,FALSE)</f>
        <v>200</v>
      </c>
      <c r="F3" s="2">
        <f t="shared" ref="F3:F7" si="0">E3-(E3/10)</f>
        <v>180</v>
      </c>
      <c r="G3" s="2">
        <f t="shared" ref="G3:G7" si="1">F3*D3</f>
        <v>180</v>
      </c>
      <c r="H3" s="2" t="str">
        <f>IF(ISNA(VLOOKUP(B3,Products!$A$1:$A$7,1,FALSE)),"no","YES")</f>
        <v>YES</v>
      </c>
    </row>
    <row r="4" spans="1:8" x14ac:dyDescent="0.35">
      <c r="A4" s="2">
        <v>3</v>
      </c>
      <c r="B4" s="2">
        <v>105</v>
      </c>
      <c r="C4" s="2" t="str">
        <f>VLOOKUP(Orders!B4,Products!$A$2:$C$7,2,FALSE)</f>
        <v>Product E</v>
      </c>
      <c r="D4" s="2">
        <v>4</v>
      </c>
      <c r="E4" s="2">
        <f>VLOOKUP(B4,Products!$A$2:$C$7,3,FALSE)</f>
        <v>220</v>
      </c>
      <c r="F4" s="2">
        <f t="shared" si="0"/>
        <v>198</v>
      </c>
      <c r="G4" s="2">
        <f t="shared" si="1"/>
        <v>792</v>
      </c>
      <c r="H4" s="2" t="str">
        <f>IF(ISNA(VLOOKUP(B4,Products!$A$1:$A$7,1,FALSE)),"no","YES")</f>
        <v>YES</v>
      </c>
    </row>
    <row r="5" spans="1:8" x14ac:dyDescent="0.35">
      <c r="A5" s="2">
        <v>4</v>
      </c>
      <c r="B5" s="2">
        <v>106</v>
      </c>
      <c r="C5" s="2" t="str">
        <f>VLOOKUP(Orders!B5,Products!$A$2:$C$7,2,FALSE)</f>
        <v>Product F</v>
      </c>
      <c r="D5" s="2">
        <v>3</v>
      </c>
      <c r="E5" s="2">
        <f>VLOOKUP(B5,Products!$A$2:$C$7,3,FALSE)</f>
        <v>130</v>
      </c>
      <c r="F5" s="2">
        <f t="shared" si="0"/>
        <v>117</v>
      </c>
      <c r="G5" s="2">
        <f t="shared" si="1"/>
        <v>351</v>
      </c>
      <c r="H5" s="2" t="str">
        <f>IF(ISNA(VLOOKUP(B5,Products!$A$1:$A$7,1,FALSE)),"no","YES")</f>
        <v>YES</v>
      </c>
    </row>
    <row r="6" spans="1:8" x14ac:dyDescent="0.35">
      <c r="A6" s="2">
        <v>5</v>
      </c>
      <c r="B6" s="2">
        <v>102</v>
      </c>
      <c r="C6" s="2" t="str">
        <f>VLOOKUP(Orders!B6,Products!$A$2:$C$7,2,FALSE)</f>
        <v>Product B</v>
      </c>
      <c r="D6" s="2">
        <v>5</v>
      </c>
      <c r="E6" s="2">
        <f>VLOOKUP(B6,Products!$A$2:$C$7,3,FALSE)</f>
        <v>150</v>
      </c>
      <c r="F6" s="2">
        <f t="shared" si="0"/>
        <v>135</v>
      </c>
      <c r="G6" s="2">
        <f t="shared" si="1"/>
        <v>675</v>
      </c>
      <c r="H6" s="2" t="str">
        <f>IF(ISNA(VLOOKUP(B6,Products!$A$1:$A$7,1,FALSE)),"no","YES")</f>
        <v>YES</v>
      </c>
    </row>
    <row r="7" spans="1:8" x14ac:dyDescent="0.35">
      <c r="A7" s="2">
        <v>6</v>
      </c>
      <c r="B7" s="2">
        <v>104</v>
      </c>
      <c r="C7" s="2" t="str">
        <f>VLOOKUP(Orders!B7,Products!$A$2:$C$7,2,FALSE)</f>
        <v>Product D</v>
      </c>
      <c r="D7" s="2">
        <v>6</v>
      </c>
      <c r="E7" s="2">
        <f>VLOOKUP(B7,Products!$A$2:$C$7,3,FALSE)</f>
        <v>90</v>
      </c>
      <c r="F7" s="2">
        <f t="shared" si="0"/>
        <v>81</v>
      </c>
      <c r="G7" s="2">
        <f t="shared" si="1"/>
        <v>486</v>
      </c>
      <c r="H7" s="2" t="str">
        <f>IF(ISNA(VLOOKUP(B7,Products!$A$1:$A$7,1,FALSE)),"no","YES")</f>
        <v>YES</v>
      </c>
    </row>
    <row r="8" spans="1:8" x14ac:dyDescent="0.35">
      <c r="A8" s="19">
        <v>7</v>
      </c>
      <c r="B8" s="19">
        <v>107</v>
      </c>
      <c r="C8" s="1"/>
      <c r="D8" s="1"/>
      <c r="E8" s="1"/>
      <c r="F8" s="2">
        <f>G8-(G8/10)</f>
        <v>0</v>
      </c>
      <c r="G8" s="1"/>
      <c r="H8" s="2" t="str">
        <f>IF(ISNA(VLOOKUP(B8,Products!$A$1:$A$7,1,FALSE)),"no","YES")</f>
        <v>no</v>
      </c>
    </row>
    <row r="10" spans="1:8" x14ac:dyDescent="0.35">
      <c r="F10" t="s">
        <v>17</v>
      </c>
      <c r="G10">
        <f>MAX(G2:G7)</f>
        <v>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Bikram Mishra</cp:lastModifiedBy>
  <dcterms:created xsi:type="dcterms:W3CDTF">2026-03-07T06:14:19Z</dcterms:created>
  <dcterms:modified xsi:type="dcterms:W3CDTF">2026-03-09T08:31:15Z</dcterms:modified>
</cp:coreProperties>
</file>